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bsite\Project\lap_bsc_v1\assets\template\"/>
    </mc:Choice>
  </mc:AlternateContent>
  <xr:revisionPtr revIDLastSave="0" documentId="13_ncr:1_{BDEAF40A-74ED-4921-85D5-F9B951F1BBD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aporan" sheetId="1" r:id="rId1"/>
    <sheet name="Input" sheetId="3" r:id="rId2"/>
    <sheet name="combo" sheetId="4" state="hidden" r:id="rId3"/>
    <sheet name="Master" sheetId="2" state="hidden" r:id="rId4"/>
  </sheets>
  <definedNames>
    <definedName name="_xlnm._FilterDatabase" localSheetId="1" hidden="1">Input!$A$1:$D$16</definedName>
    <definedName name="_xlnm.Print_Titles" localSheetId="0">Laporan!$1:$1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4" i="1" l="1"/>
  <c r="E39" i="1"/>
  <c r="E13" i="1"/>
  <c r="E2" i="1"/>
  <c r="G220" i="3" l="1"/>
  <c r="F214" i="3"/>
  <c r="F147" i="3"/>
  <c r="E83" i="1"/>
  <c r="E82" i="1"/>
  <c r="E79" i="1"/>
  <c r="E78" i="1"/>
  <c r="E74" i="1"/>
  <c r="E71" i="1"/>
  <c r="E70" i="1"/>
  <c r="E68" i="1"/>
  <c r="E60" i="1"/>
  <c r="E59" i="1"/>
  <c r="E58" i="1"/>
  <c r="E54" i="1"/>
  <c r="E53" i="1"/>
  <c r="E49" i="1"/>
  <c r="E48" i="1"/>
  <c r="E47" i="1"/>
  <c r="E46" i="1"/>
  <c r="E45" i="1"/>
  <c r="E44" i="1"/>
  <c r="E43" i="1"/>
  <c r="E36" i="1"/>
  <c r="E23" i="1"/>
  <c r="F255" i="3"/>
  <c r="F254" i="3"/>
  <c r="F251" i="3"/>
  <c r="F250" i="3" s="1"/>
  <c r="F246" i="3"/>
  <c r="F245" i="3" s="1"/>
  <c r="F242" i="3"/>
  <c r="F241" i="3"/>
  <c r="F237" i="3"/>
  <c r="F236" i="3" s="1"/>
  <c r="E75" i="1" s="1"/>
  <c r="F233" i="3"/>
  <c r="F232" i="3"/>
  <c r="F228" i="3"/>
  <c r="F227" i="3"/>
  <c r="F224" i="3"/>
  <c r="F223" i="3"/>
  <c r="F220" i="3"/>
  <c r="F219" i="3" s="1"/>
  <c r="E69" i="1" s="1"/>
  <c r="F216" i="3"/>
  <c r="F215" i="3" s="1"/>
  <c r="F213" i="3"/>
  <c r="F196" i="3"/>
  <c r="F193" i="3"/>
  <c r="F189" i="3"/>
  <c r="F188" i="3" s="1"/>
  <c r="F185" i="3"/>
  <c r="F184" i="3" s="1"/>
  <c r="F177" i="3"/>
  <c r="F173" i="3"/>
  <c r="F172" i="3" s="1"/>
  <c r="F161" i="3"/>
  <c r="F160" i="3" s="1"/>
  <c r="F154" i="3"/>
  <c r="F153" i="3" s="1"/>
  <c r="F208" i="3"/>
  <c r="F207" i="3" s="1"/>
  <c r="F206" i="3" s="1"/>
  <c r="F205" i="3"/>
  <c r="F202" i="3"/>
  <c r="F201" i="3" s="1"/>
  <c r="F200" i="3" s="1"/>
  <c r="F204" i="3"/>
  <c r="F203" i="3" s="1"/>
  <c r="F60" i="3"/>
  <c r="F134" i="3"/>
  <c r="F150" i="3"/>
  <c r="F149" i="3" s="1"/>
  <c r="F101" i="3"/>
  <c r="F212" i="3" l="1"/>
  <c r="F211" i="3" s="1"/>
  <c r="E67" i="1" s="1"/>
  <c r="F192" i="3"/>
  <c r="E55" i="1" s="1"/>
  <c r="F140" i="3"/>
  <c r="F139" i="3" s="1"/>
  <c r="E37" i="1" s="1"/>
  <c r="F136" i="3"/>
  <c r="F135" i="3" s="1"/>
  <c r="F133" i="3"/>
  <c r="F132" i="3" s="1"/>
  <c r="E35" i="1" s="1"/>
  <c r="F129" i="3"/>
  <c r="F128" i="3" s="1"/>
  <c r="E34" i="1" s="1"/>
  <c r="F125" i="3"/>
  <c r="F124" i="3" s="1"/>
  <c r="E33" i="1" s="1"/>
  <c r="F121" i="3"/>
  <c r="F120" i="3" s="1"/>
  <c r="E32" i="1" s="1"/>
  <c r="F117" i="3"/>
  <c r="F116" i="3" s="1"/>
  <c r="E31" i="1" s="1"/>
  <c r="F113" i="3"/>
  <c r="F112" i="3" s="1"/>
  <c r="E30" i="1" s="1"/>
  <c r="F109" i="3"/>
  <c r="F106" i="3"/>
  <c r="F103" i="3"/>
  <c r="F100" i="3"/>
  <c r="F99" i="3"/>
  <c r="E28" i="1" s="1"/>
  <c r="F96" i="3"/>
  <c r="F95" i="3" s="1"/>
  <c r="E27" i="1" s="1"/>
  <c r="F92" i="3"/>
  <c r="F91" i="3" s="1"/>
  <c r="F88" i="3"/>
  <c r="F87" i="3" s="1"/>
  <c r="F84" i="3"/>
  <c r="F83" i="3" s="1"/>
  <c r="E24" i="1" s="1"/>
  <c r="F80" i="3"/>
  <c r="F79" i="3" s="1"/>
  <c r="F76" i="3"/>
  <c r="F73" i="3"/>
  <c r="F72" i="3" s="1"/>
  <c r="E22" i="1" s="1"/>
  <c r="F69" i="3"/>
  <c r="F68" i="3" s="1"/>
  <c r="E21" i="1" s="1"/>
  <c r="F56" i="3"/>
  <c r="F50" i="3"/>
  <c r="F49" i="3" s="1"/>
  <c r="F48" i="3" s="1"/>
  <c r="F47" i="3"/>
  <c r="F46" i="3" s="1"/>
  <c r="F45" i="3" s="1"/>
  <c r="F44" i="3"/>
  <c r="F43" i="3" s="1"/>
  <c r="F42" i="3" s="1"/>
  <c r="F39" i="3"/>
  <c r="F38" i="3" s="1"/>
  <c r="F24" i="3"/>
  <c r="F23" i="3" s="1"/>
  <c r="F22" i="3"/>
  <c r="F21" i="3" s="1"/>
  <c r="F20" i="3"/>
  <c r="F19" i="3" s="1"/>
  <c r="F17" i="3"/>
  <c r="F16" i="3" s="1"/>
  <c r="F15" i="3"/>
  <c r="F14" i="3" s="1"/>
  <c r="F13" i="3"/>
  <c r="F12" i="3" s="1"/>
  <c r="F11" i="3"/>
  <c r="F10" i="3" s="1"/>
  <c r="F9" i="3"/>
  <c r="F8" i="3" s="1"/>
  <c r="F37" i="3"/>
  <c r="F36" i="3" s="1"/>
  <c r="F41" i="3"/>
  <c r="F40" i="3" s="1"/>
  <c r="F32" i="3"/>
  <c r="F29" i="3"/>
  <c r="F26" i="3"/>
  <c r="F7" i="3"/>
  <c r="F6" i="3" s="1"/>
  <c r="F64" i="3"/>
  <c r="E26" i="1" l="1"/>
  <c r="E25" i="1"/>
  <c r="F102" i="3"/>
  <c r="E29" i="1" s="1"/>
  <c r="F25" i="3"/>
  <c r="F59" i="3"/>
  <c r="F5" i="3"/>
  <c r="F35" i="3"/>
  <c r="F18" i="3"/>
  <c r="D57" i="1" l="1"/>
  <c r="D52" i="1"/>
  <c r="D41" i="1"/>
  <c r="F180" i="3"/>
  <c r="F176" i="3" s="1"/>
  <c r="E50" i="1" s="1"/>
  <c r="F169" i="3"/>
  <c r="F168" i="3" s="1"/>
  <c r="F165" i="3"/>
  <c r="F164" i="3" s="1"/>
  <c r="F158" i="3"/>
  <c r="F157" i="3" s="1"/>
  <c r="F146" i="3"/>
  <c r="E42" i="1" s="1"/>
  <c r="F63" i="3"/>
  <c r="F55" i="3"/>
  <c r="D39" i="1" l="1"/>
  <c r="D20" i="1"/>
  <c r="D15" i="1"/>
  <c r="D4" i="1"/>
  <c r="D13" i="1" l="1"/>
  <c r="D94" i="1"/>
  <c r="E91" i="1" l="1"/>
  <c r="E90" i="1"/>
  <c r="E93" i="1"/>
  <c r="E92" i="1"/>
  <c r="D77" i="1"/>
  <c r="D81" i="1"/>
  <c r="E94" i="1" l="1"/>
  <c r="E95" i="1" s="1"/>
  <c r="E86" i="1"/>
  <c r="D73" i="1"/>
  <c r="D66" i="1"/>
  <c r="D64" i="1" l="1"/>
  <c r="D2" i="1"/>
  <c r="D8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Bagian Perekonomian</author>
  </authors>
  <commentList>
    <comment ref="C76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Bagian Perekonomian:</t>
        </r>
        <r>
          <rPr>
            <sz val="9"/>
            <color indexed="81"/>
            <rFont val="Tahoma"/>
            <charset val="1"/>
          </rPr>
          <t xml:space="preserve">
hasil perhitungan dikalikan 100.000
</t>
        </r>
      </text>
    </comment>
    <comment ref="C189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Bagian Perekonomian:</t>
        </r>
        <r>
          <rPr>
            <sz val="9"/>
            <color indexed="81"/>
            <rFont val="Tahoma"/>
            <family val="2"/>
          </rPr>
          <t xml:space="preserve">
hasil perhitungan dikalikan 25</t>
        </r>
      </text>
    </comment>
    <comment ref="C21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Bagian Perekonomian:</t>
        </r>
        <r>
          <rPr>
            <sz val="9"/>
            <color indexed="81"/>
            <rFont val="Tahoma"/>
            <family val="2"/>
          </rPr>
          <t xml:space="preserve">
hasil perhitungan dikalikan 1 hari
</t>
        </r>
      </text>
    </comment>
    <comment ref="C22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Bagian Perekonomian:</t>
        </r>
        <r>
          <rPr>
            <sz val="9"/>
            <color indexed="81"/>
            <rFont val="Tahoma"/>
            <family val="2"/>
          </rPr>
          <t xml:space="preserve">
hasil perhitungan dikalikan 1 hari</t>
        </r>
      </text>
    </comment>
    <comment ref="C224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Bagian Perekonomian:</t>
        </r>
        <r>
          <rPr>
            <sz val="9"/>
            <color indexed="81"/>
            <rFont val="Tahoma"/>
            <family val="2"/>
          </rPr>
          <t xml:space="preserve">
hasil perhitungan dikalikan 100</t>
        </r>
      </text>
    </comment>
  </commentList>
</comments>
</file>

<file path=xl/sharedStrings.xml><?xml version="1.0" encoding="utf-8"?>
<sst xmlns="http://schemas.openxmlformats.org/spreadsheetml/2006/main" count="774" uniqueCount="446">
  <si>
    <t>KINERJA DARI PERSPEKTIF PERTUMBUHAN DAN PEMBELAJARAN</t>
  </si>
  <si>
    <t>1.1</t>
  </si>
  <si>
    <t>KINERJA ASPEK PELAYANAN</t>
  </si>
  <si>
    <t>1.1.1</t>
  </si>
  <si>
    <t>Sub Aspek Pertumbuhan Pembelajaran</t>
  </si>
  <si>
    <t>a</t>
  </si>
  <si>
    <t>Kecukupan Sumber Daya Manusia</t>
  </si>
  <si>
    <t>Rata-rata jam pelatihan Pegawai BLUD</t>
  </si>
  <si>
    <t>Pelatihan 20 Jam per Pegawai</t>
  </si>
  <si>
    <t>Petugas Layanan Gawat Darurat Bersetifikat (PGD)</t>
  </si>
  <si>
    <t>Program Reward and Punishment</t>
  </si>
  <si>
    <t>Presentase Dokter Pendidik Klinis yang Mendapat TOT</t>
  </si>
  <si>
    <t>Kecukupan Sarana Medis</t>
  </si>
  <si>
    <t>Pelayanan pemeliharaan sarana rumah sakit</t>
  </si>
  <si>
    <t>Pengembangan SIM RS</t>
  </si>
  <si>
    <t>Pelayanan administrasi manajemen</t>
  </si>
  <si>
    <t>Kenaikan Pendapatan RSD per Pegawai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</si>
  <si>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</si>
  <si>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</si>
  <si>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</si>
  <si>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</si>
  <si>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</si>
  <si>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</si>
  <si>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</si>
  <si>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</si>
  <si>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</si>
  <si>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</si>
  <si>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Jenis dan Jumlah SDM yang ada sesuai ketentuan PP 47 th 2021</t>
  </si>
  <si>
    <t>Jenis dan Jumlah SDM yang ada sesuai ketentuan PP 47 thn 2021 yang memenuhi ABK</t>
  </si>
  <si>
    <t>Total realisasi jam pelatihan pegawai</t>
  </si>
  <si>
    <t>Jumlah pegawai x 20 jam</t>
  </si>
  <si>
    <t>Jumlah pegawai yang mendapat pelatihan minimal 20 jam</t>
  </si>
  <si>
    <t>Jumlah seluruh pegawai di BLUD Rumah Sakit Daerah</t>
  </si>
  <si>
    <t>-</t>
  </si>
  <si>
    <t>Total Petugas Layanan Gawat Darurat yang bersertifikat</t>
  </si>
  <si>
    <t>Total petugas Layanan Gawat Darurat</t>
  </si>
  <si>
    <t>Jumlah dokter pendidik klinis yang mendapatkan TOT</t>
  </si>
  <si>
    <t>Jumlah seluruh dokter pendidik klinis</t>
  </si>
  <si>
    <t>Jenis dan Jumlah sarana medis yang disediakan RSD</t>
  </si>
  <si>
    <t>Jenis dan Jumlah sarana medis sesuai Standar yang ditetapkan oleh Permenkes 40 th 2022</t>
  </si>
  <si>
    <t>2.1</t>
  </si>
  <si>
    <t>2.1.1</t>
  </si>
  <si>
    <t>Pertumbuhan Kunjungan Rawat Jalan</t>
  </si>
  <si>
    <t>Pertumbuhan Kunjungan Rawat Inap</t>
  </si>
  <si>
    <t>Sub Aspek Efektivitas Pelayanan</t>
  </si>
  <si>
    <t>3.1</t>
  </si>
  <si>
    <t>3.1.1</t>
  </si>
  <si>
    <t>KINERJA DARI PERSPEKTIF PROSES LAYANAN INTERNAL</t>
  </si>
  <si>
    <t>Sub Aspek Pertumbuhan Produktivitas</t>
  </si>
  <si>
    <t>KINERJA DARI PERSPEKTIF PELANGGAN</t>
  </si>
  <si>
    <t>KINERJA MUTU DAN MANFAAT BAGI MASYARAKAT</t>
  </si>
  <si>
    <t>SubAspek Mutu Layanan</t>
  </si>
  <si>
    <t>Emergency Response Time Rate</t>
  </si>
  <si>
    <t>Kepatuhan Kebersihan Tangan</t>
  </si>
  <si>
    <t>Kepatuhan Penggunaan Alat Pelindung Diri</t>
  </si>
  <si>
    <t>Kepatuhan identifikasi pasien</t>
  </si>
  <si>
    <t>l</t>
  </si>
  <si>
    <t>m</t>
  </si>
  <si>
    <t>n</t>
  </si>
  <si>
    <t>o</t>
  </si>
  <si>
    <t>p</t>
  </si>
  <si>
    <t>3.1.2</t>
  </si>
  <si>
    <t>2.1.2</t>
  </si>
  <si>
    <t>3.1.3</t>
  </si>
  <si>
    <t>Kepuasan Pasien</t>
  </si>
  <si>
    <t>KINERJA DARI PERSPEKTIF KEUANGAN</t>
  </si>
  <si>
    <t>4.1.1</t>
  </si>
  <si>
    <t>KINERJA MEMPEROLEH HASIL USAHA ATAU HASIL KERJA DARI LAYANAN YANG DIBERIKAN</t>
  </si>
  <si>
    <t>Periode Penagihan Piutang (Collection Period)</t>
  </si>
  <si>
    <t>Perputaran Aset Tetap (Fixed Asset Turnover)</t>
  </si>
  <si>
    <t>Perputaran Persediaan (Inventory Turnover)</t>
  </si>
  <si>
    <t>Imbalan atas Aset Tetap (Return on Fixed Asset)</t>
  </si>
  <si>
    <t>4.1.2</t>
  </si>
  <si>
    <t>KINERJA MEMENUHI SELURUH KEWAJIBAN JANGKA PENDEKNYA</t>
  </si>
  <si>
    <t>Rasio Kas (Cash Ratio)</t>
  </si>
  <si>
    <t>Rasio Lancar (Current Ratio)</t>
  </si>
  <si>
    <t>4.1.3</t>
  </si>
  <si>
    <t>KINERJA MEMENUHI SELURUH KEWAJIBAN</t>
  </si>
  <si>
    <t>Rasio Kewajiban terhadap Aset</t>
  </si>
  <si>
    <t>Rasio Kewajiban terhadap Ekuitas</t>
  </si>
  <si>
    <t>4.1.4</t>
  </si>
  <si>
    <t>KINERJA KEMAMPUAN PENERIMAAN DARI JASA LAYANAN UNTUK MEMBIAYAI PENGELUARAN</t>
  </si>
  <si>
    <t>Porsi Pendapatan APBD-LO dibandingkan pendapatan non APBD-LO</t>
  </si>
  <si>
    <t>NO</t>
  </si>
  <si>
    <t>ASPEK KINERJA</t>
  </si>
  <si>
    <t>Tidak ada program reward and punishment</t>
  </si>
  <si>
    <t>Ada program tidak dilaksanakan</t>
  </si>
  <si>
    <t>Ada program sebagian dilaksanakan</t>
  </si>
  <si>
    <t>Ada program dilaksanakan sepenuhnya</t>
  </si>
  <si>
    <t>Jumlah tindakan kebersihan tangan yang dilakukan</t>
  </si>
  <si>
    <t>Jumlah peluang kebersihan tangan yang seharusnya dilakukan</t>
  </si>
  <si>
    <t>Jumlah petugas yang menggunakan APD</t>
  </si>
  <si>
    <t>Jumlah seluruh petugas yang terindikasi menggunakan APD</t>
  </si>
  <si>
    <t>Jumlah pemberi layanan yang melakukan identifikasi pasien secara benar</t>
  </si>
  <si>
    <t>Jumlah pemberi layanan</t>
  </si>
  <si>
    <t>Jumlah pasien yang keluar (hidup atau mati)</t>
  </si>
  <si>
    <t>Ada Program tidak dilaksanakan</t>
  </si>
  <si>
    <t>Tidak ada program</t>
  </si>
  <si>
    <t>Ada program yang dilaksanakan semua</t>
  </si>
  <si>
    <t>Ya</t>
  </si>
  <si>
    <t>Tidak</t>
  </si>
  <si>
    <t>Kategori Utama</t>
  </si>
  <si>
    <t>Kategori Madya</t>
  </si>
  <si>
    <t>Kategori Perdana</t>
  </si>
  <si>
    <t>Kategori Paripurna</t>
  </si>
  <si>
    <t>Aset tetap</t>
  </si>
  <si>
    <t>Surplus / defisit operasional</t>
  </si>
  <si>
    <t>Kas dan Setara Kas</t>
  </si>
  <si>
    <t>Aset Lancar</t>
  </si>
  <si>
    <t>Kewajiban Jangka Pendek</t>
  </si>
  <si>
    <t>Jumlah Kewajiban</t>
  </si>
  <si>
    <t>Jumlah Aset</t>
  </si>
  <si>
    <t>Pendapatan BLUD non APBD - LO</t>
  </si>
  <si>
    <t>Biaya Operasional</t>
  </si>
  <si>
    <t>Pendapatan APBD - LO</t>
  </si>
  <si>
    <t>Rekapitulasi Nilai</t>
  </si>
  <si>
    <t>PERSPEKTIF</t>
  </si>
  <si>
    <t>TARGET</t>
  </si>
  <si>
    <t>Pertumbuhan dan Pembelajaran</t>
  </si>
  <si>
    <t>Proses Layanan Internal</t>
  </si>
  <si>
    <t>Pelanggan</t>
  </si>
  <si>
    <t>Keuangan</t>
  </si>
  <si>
    <t>Total Nilai</t>
  </si>
  <si>
    <t>Kriteria</t>
  </si>
  <si>
    <t>Dokumen Renstra, Pola Tata Kelola dan SPM</t>
  </si>
  <si>
    <t>Memiliki Perkada dan melakukan monev Rencana Lima Tahunan/Renstra BLUD, Pola Tata Kelola dan SPM</t>
  </si>
  <si>
    <t>Memiliki Perkada dan melakukan monev Rencana Lima Tahunan/Renstra BLUD</t>
  </si>
  <si>
    <t>Rencana Lima Tahunan/Renstra BLUD, Pola Tata Kelola dan SPM</t>
  </si>
  <si>
    <t>Tidak Memiliki Perkada dan melakukan monev Rencana Lima Tahunan/Renstra BLUD, Pola Tata Kelola dan SPM</t>
  </si>
  <si>
    <t>Rencana Usulan Kegiatan (RUK)</t>
  </si>
  <si>
    <t>Menyusun seluruhnya ada analisa dan perumusan</t>
  </si>
  <si>
    <t>Menyusun beberapa ada analisa dan perumusan</t>
  </si>
  <si>
    <t>Menyusun sebagian ada analisa dan perumusan</t>
  </si>
  <si>
    <t>Tidak menyusun</t>
  </si>
  <si>
    <t>Rencana Pelaksanaan Kegiatan (RPK)</t>
  </si>
  <si>
    <t>Menyusun terinci semua</t>
  </si>
  <si>
    <t>Menyusun terinci sebagian besar</t>
  </si>
  <si>
    <t>Menyusun terinci sebagian kecil</t>
  </si>
  <si>
    <t>Mini Lokakarya Bulanan</t>
  </si>
  <si>
    <t>9 – 12 kali/tahun</t>
  </si>
  <si>
    <t>5 – 8 kali/tahun</t>
  </si>
  <si>
    <t>&lt; 5 kali/tahun</t>
  </si>
  <si>
    <t>Tidak Melaksanakan</t>
  </si>
  <si>
    <t>Mini Lokakarya Tribulanan</t>
  </si>
  <si>
    <t>4 kali/tahun</t>
  </si>
  <si>
    <t>2 – 3 kali/tahun</t>
  </si>
  <si>
    <t>&lt; 2 kali/tahun</t>
  </si>
  <si>
    <t xml:space="preserve">Penilaian Kinerja Tahun Sebelumnya </t>
  </si>
  <si>
    <t>Membuat, mengirimkan dan mendapat feedback</t>
  </si>
  <si>
    <t>Membuat dan mengirimkan tapi tidak mendapat feedback</t>
  </si>
  <si>
    <t xml:space="preserve">Membuat tapi tidak mengirimkan </t>
  </si>
  <si>
    <t>Tidak membuat</t>
  </si>
  <si>
    <t>Inventarisasi/Pembukuan Aset Tetap</t>
  </si>
  <si>
    <t>Melakukan inventarisasi/pembukuan aset tetap</t>
  </si>
  <si>
    <t>Tidak melakukan inventarisasi/pembukuan aset tetap</t>
  </si>
  <si>
    <t>Daftar Inventarisasi/Laporan Aset Tetap</t>
  </si>
  <si>
    <t>Membuat Daftar inventarisasi/Laporan aset tetap</t>
  </si>
  <si>
    <t>Tidak membuat Daftar Inventarisasi/Laporan aset tetap</t>
  </si>
  <si>
    <t>Laporan Stok Opname Persediaan</t>
  </si>
  <si>
    <t>Mencatat diseluruh unit</t>
  </si>
  <si>
    <t>Mencatat sebagian unit</t>
  </si>
  <si>
    <t>Mencatat beberapa unit</t>
  </si>
  <si>
    <t>Tidak mencatat</t>
  </si>
  <si>
    <t>SDM BLUD Bersertifikasi (SBB)</t>
  </si>
  <si>
    <t xml:space="preserve">Jumlah SDM BLUD bersertifikasi kompetensi </t>
  </si>
  <si>
    <t>Jumlah SDM BLUD yang diwajibkan bersertifikasi kompetensi</t>
  </si>
  <si>
    <t>Pengembangan Kapasitas Bendahara (PKB)</t>
  </si>
  <si>
    <t xml:space="preserve">Jumlah Bendahara yang mengikuti pengembangan kapasitas sesuai tugas fungsi </t>
  </si>
  <si>
    <t>Jumlah Bendahara yang ada</t>
  </si>
  <si>
    <t>Profesi dan Personel Sesuai ABK (PPSA)</t>
  </si>
  <si>
    <t>Jumlah profesi dan personel yang ada</t>
  </si>
  <si>
    <t>Jumlah profesi dan personel yang wajib terpenuhi standar dan ABK sesuai kategori PKM</t>
  </si>
  <si>
    <t>Ketepatan Pencatatan Kas dan LRA</t>
  </si>
  <si>
    <t>Pencatatan buku kas, SPTJ dan LRA BLUD Bulanan/Triwulanan tepat waktu</t>
  </si>
  <si>
    <t>Maksimum 50% Pencatatan buku kas, SPTJ dan LRA BLUD Bulanan/Triwulan tidak tepat waktu atau tidak ada</t>
  </si>
  <si>
    <t>Diatas 50% sampai dengan 90% Pencatatan buku kas, SPTJ dan LRA BLUD Bulanan/Triwulan tidak tepat waktu atau tidak ada</t>
  </si>
  <si>
    <t>Diatas 90% pencatatan buku kas, SPTJ dan LRA BLUD Bulanan/Triwulan tidak tepat waktu atau tidak ada</t>
  </si>
  <si>
    <t>Ketepatan waktu, kelengkapan dan keyakinan penyajian Laporan Keuangan</t>
  </si>
  <si>
    <t>Lengkap dan keyakinan penyajian yang tinggi</t>
  </si>
  <si>
    <t>Lengkap dan tepat waktu</t>
  </si>
  <si>
    <t>Hanya tepat waktu</t>
  </si>
  <si>
    <t>Tidak tepat waktu, lengkap dan keyakinan penyajian</t>
  </si>
  <si>
    <t>Ketepatan Anggaran Kas (KAK)</t>
  </si>
  <si>
    <t>Pemberdayaan Masyarakat</t>
  </si>
  <si>
    <t>Membentuk 3 Desa Siaga atau lebih</t>
  </si>
  <si>
    <t>Membentuk 2 Desa Siaga</t>
  </si>
  <si>
    <t>Membentuk 1 Desa Siaga</t>
  </si>
  <si>
    <t>Tidak Membentuk Desa Siaga</t>
  </si>
  <si>
    <t>SIMPUS</t>
  </si>
  <si>
    <t>Ditetapkan Tim SIMPUS dan membuat laporan data dasar dan/atau program</t>
  </si>
  <si>
    <t>Ditetapkan Tim SIMPUS atau membuat laporan data dasar dan/atau program</t>
  </si>
  <si>
    <t>Tidak ditetapkan Tim SIMPUS dan tidak membuat laporan data dasar dan/atau program</t>
  </si>
  <si>
    <t>Akreditasi</t>
  </si>
  <si>
    <t>Terdapat Sertifikat Akreditasi Elektronik</t>
  </si>
  <si>
    <t>Pertumbuhan rata – rata kunjungan (RJ)</t>
  </si>
  <si>
    <t>Pertumbuhan Hari perawatan (RI)</t>
  </si>
  <si>
    <t>Pertumbuhan Layanan Laboratorium (PL)</t>
  </si>
  <si>
    <t>Pelayanan Kesehatan Ibu Hamil (PKIH)</t>
  </si>
  <si>
    <t>Jumlah sasaran ibu hamil dalam periode yang sama</t>
  </si>
  <si>
    <t>Pelayanan Kesehatan Ibu Bersalin (PKIB)</t>
  </si>
  <si>
    <t>Jumlah ibu bersalin mendapatkan pelayanan persalinan dlm 1 thn</t>
  </si>
  <si>
    <t>Jumlah sasaran ibu bersalin dalam 1 tahun yang sama</t>
  </si>
  <si>
    <t>Angka Kematian Ibu (AKI)</t>
  </si>
  <si>
    <t>jumlah kelahiran hidup dalam periode yang sama</t>
  </si>
  <si>
    <t>Kesehatan Bayi Baru Lahir (KBBL)</t>
  </si>
  <si>
    <t>Jumlah bayi baru lahir yang mendapat pelayanan kesehatan</t>
  </si>
  <si>
    <t>Jumlah sasaran bayi baru lahir yang mendapat pelayanan kesehatan</t>
  </si>
  <si>
    <t>Pelayanan Kesehatan Balita (PKBal)</t>
  </si>
  <si>
    <t xml:space="preserve">Jumlah Balita yang mendapat pelayanan sesuai standar dlm 1 periode </t>
  </si>
  <si>
    <t>Jumlah Balita usia 12 – 59 bulan dalam periode yang sama</t>
  </si>
  <si>
    <t>Pelayanan Kesehatan Usia Pendidikan Dasar (PKPD)</t>
  </si>
  <si>
    <t>Jumlah semua anak usia pendidikan dasar pada periode yang sama</t>
  </si>
  <si>
    <t>Pelayanan Kesehatan Usia Produktif (PKUP)</t>
  </si>
  <si>
    <t>Jumlah orang usia 15 – 59 thn yang mendapat skrining kesehatan selama 1 periode</t>
  </si>
  <si>
    <t>Jumlah orang usia 15 – 59 thn dalam periode yang sama</t>
  </si>
  <si>
    <t>Pelayanan Promosi Kesehatan (PPKes)</t>
  </si>
  <si>
    <t>Jumlah kegiatan penyuluhan atau intervensi PHBS dalam 1 periode</t>
  </si>
  <si>
    <t>Jumlah seluruh institusi dalam periode yang sama</t>
  </si>
  <si>
    <t>Pelayanan Kesehatan Lingkungan</t>
  </si>
  <si>
    <t>Tidak ada</t>
  </si>
  <si>
    <t>Pelayanan Gizi Asi Ekslusif (PGAE)</t>
  </si>
  <si>
    <t>Jumlah bayi usia kurang dari 6 bln yang mendapat ASI ekslusif dalam 1 periode</t>
  </si>
  <si>
    <t>Jumlah bayi usia kurang dari 6 bulan dalam periode yang sama</t>
  </si>
  <si>
    <t>Pelayanan Gizi Prevelensi Stunting (PGPS)</t>
  </si>
  <si>
    <t>Jumlah balita stunting</t>
  </si>
  <si>
    <t>Jumlah balita yang diukur indeks PB / U atau TB / U</t>
  </si>
  <si>
    <t>Jumlah ibu hamil yang periksa LILA kurang dari 23,5cm</t>
  </si>
  <si>
    <t>Pelayanan Kesehatan pada Usia Lanjut (PGUL)</t>
  </si>
  <si>
    <t>Jumlah warga usia 60 thn atau lebih yang mendapat skrining kesehatan dlm 1 periode</t>
  </si>
  <si>
    <t>Jumlah semua warga usia 60 thn atau lebih dalam periode yang sama</t>
  </si>
  <si>
    <t>Pelayanan Kesehatan pada Penderita Hipertensi (PKPH)</t>
  </si>
  <si>
    <t>Jumlah penderita hipertensi usia ≥ 15th yang mendapat perawatan dalam 1 periode</t>
  </si>
  <si>
    <t>Jumlah estimasi penderita hipertensi ≥ 15th dalam periode yang sama</t>
  </si>
  <si>
    <t>Pelayanan Kesehatan pada Penderita Diabetes Melitus (PKDM)</t>
  </si>
  <si>
    <t>Jumlah penderita DM usia ≥ 15th yang mendapat pelayanan kesehatan dalam 1 periode</t>
  </si>
  <si>
    <t>Jumlah estimasi penderita DM ≥ 15th dalam periode yang sama</t>
  </si>
  <si>
    <t>Pelayanan Kesehatan pada Orang Dengan Gangguan Jiwa (PKODGJ)</t>
  </si>
  <si>
    <t>Jumlah ODG berat yang mendapat pelayanan kesehatan dalam 1 periode</t>
  </si>
  <si>
    <t>Jumlah ODG berat berdasarkan proyeksi dalam periode yang sama</t>
  </si>
  <si>
    <t>Pelayanan Kesehatan pada Orang Penderita HIV (PKOHIV)</t>
  </si>
  <si>
    <t>Jumlah orang dgn resiko terinfeksi HIV yang mendapat pelayanan dalam 1 periode</t>
  </si>
  <si>
    <t>Jumlah orang dengan risiko terinfeksi HIV dalam periode yang sama</t>
  </si>
  <si>
    <t>Pelayanan Kesehatan Tradisional</t>
  </si>
  <si>
    <t>Ada</t>
  </si>
  <si>
    <t>Jumlah Orang Mendapat Perkesmas (JOMP)</t>
  </si>
  <si>
    <t>Jumlah individu dari keluarga rawan yang mendapat perawatan homecare dalam 1 periode</t>
  </si>
  <si>
    <t>Jumlah individu dari keluarga rawan yang perlu perawatan homecare dalam periode yang sama</t>
  </si>
  <si>
    <t>Jumlah Desa mendapat Perkesmas (JDMP)</t>
  </si>
  <si>
    <t>Jumlah desa kelurahan binaan yang mendapat asuhan keperawatan dalam 1 periode</t>
  </si>
  <si>
    <t>Emergency Response Time Rate (ERT)/menit</t>
  </si>
  <si>
    <t>Rata-rata lama waktu tunggu penanganan pasien gawat darurat (dalam menit)</t>
  </si>
  <si>
    <t>Length of Stay (LOSNB)/Hari</t>
  </si>
  <si>
    <t>Jumlah lama pasien non BPJS dirawat</t>
  </si>
  <si>
    <t>Jumlah pasien non BPJS keluar</t>
  </si>
  <si>
    <t>Length of Stay BPJS (LOSB)/Hari</t>
  </si>
  <si>
    <t>Jumlah lama pasien BPJS dirawat</t>
  </si>
  <si>
    <t>Jumlah pasien BPJS keluar</t>
  </si>
  <si>
    <t>Waktu Tunggu Hasil Laboratorium (WTL)/Jam</t>
  </si>
  <si>
    <t xml:space="preserve">  Rata-rata lama waktu menunggu hasil laboratorium Pemeriksaan HB (dalam jam)</t>
  </si>
  <si>
    <t>Kepatuhan Kebersihan Tangan (KKT)</t>
  </si>
  <si>
    <t>Kepatuhan Penggunaan Alat Pelindung Diri (KAPD)</t>
  </si>
  <si>
    <t>Kepatuhan Identifikasi Pasien (KIP)</t>
  </si>
  <si>
    <t>Angka Kematian Gawat Darurat (AKG)</t>
  </si>
  <si>
    <t>Jumlah pasien meninggal ≥ 48 jam dirawat</t>
  </si>
  <si>
    <t>Pelayanan TBC (PTBC)</t>
  </si>
  <si>
    <t>Jumlah orang terduga TBC dalam kurun waktu periode yang sama</t>
  </si>
  <si>
    <t>Angka Kesembuhan Pasien TB (AKP)</t>
  </si>
  <si>
    <t>Jumlah semua pasien TB SO yang sembuh dan pengobatan lengkap dalam 1 periode</t>
  </si>
  <si>
    <t>Jumlah semua kasus TB SO yang diobati pada periode yang sama</t>
  </si>
  <si>
    <t>Penanganan Pengaduan/Komplain (PP/K)</t>
  </si>
  <si>
    <t>Jumlah pengaduan/komplain yang dilaporkan dan direspon</t>
  </si>
  <si>
    <t>Jumlah seluruh pengaduan/komplain yang dilaporkan</t>
  </si>
  <si>
    <t>Kepuasan Pasien (KP)</t>
  </si>
  <si>
    <t>Total nilai persepsi seluruh responden</t>
  </si>
  <si>
    <t>total unsur yang terisi dari seluruh responden</t>
  </si>
  <si>
    <t>Jumlah lembar resep sesuai formularium</t>
  </si>
  <si>
    <t>Jumlah semua resep dalam satu periode</t>
  </si>
  <si>
    <t>Jumlah kasus penyimpanan dan pelayanan obat LASA</t>
  </si>
  <si>
    <t>Total aktivitas penyimpanan dan pelayanan obat selama 1 periode</t>
  </si>
  <si>
    <t>Pengolahan Air Limbah</t>
  </si>
  <si>
    <t xml:space="preserve">Pengolahan Limbah Infeksius </t>
  </si>
  <si>
    <t>Kawasan Tanpa Rokok</t>
  </si>
  <si>
    <t>Periode Penagihan Piutang (Collection Period) (PPP)</t>
  </si>
  <si>
    <t>Perputaran Aset Tetap (PAT)</t>
  </si>
  <si>
    <t>Perputaran Persediaan (PP) Hari</t>
  </si>
  <si>
    <t>Imbalan atas Aset Tetap (Return on Fixed Asset) (ROFA)</t>
  </si>
  <si>
    <t>Imbalan Ekuitas (Return on Equity) (ROE)</t>
  </si>
  <si>
    <t>Rasio Kas (Cash Rasio) (RK)</t>
  </si>
  <si>
    <t>Rasio Lancar (Current Ratio) (RL)</t>
  </si>
  <si>
    <t>Rasio Kewajiban terhadap Aset (RKTA)</t>
  </si>
  <si>
    <t>Rasio Kewajiban terhadap Ekuitas (RKTE)</t>
  </si>
  <si>
    <t>Manajemen Umum Puskesmas</t>
  </si>
  <si>
    <t>Manajemen Sumber Daya Puskesmas</t>
  </si>
  <si>
    <t>Manajemen Sumber Daya Manusia Puskesmas</t>
  </si>
  <si>
    <t>Manajemen Keuangan dan Barang Milik Daerah</t>
  </si>
  <si>
    <t>Manajemen Pemberdayaan Masyarakat</t>
  </si>
  <si>
    <t>Manajemen Data dan Informasi</t>
  </si>
  <si>
    <t>Manajemen Mutu</t>
  </si>
  <si>
    <t>Tidak Memiliki Sertifikat Akreditasi Elektronik</t>
  </si>
  <si>
    <t xml:space="preserve">Pertumbuhan Kunjungan Rawat Jalan di Puskesmas </t>
  </si>
  <si>
    <t xml:space="preserve">Pertumbuhan Kunjungan Rawat Inap di Puskesmas </t>
  </si>
  <si>
    <t>Pertumbuhan Pemeriksaan Laboratorium di Puskesmas</t>
  </si>
  <si>
    <t>Kinerja SubAspek Efektivitas Pelayanan</t>
  </si>
  <si>
    <t>Pelayanan Kesehatan Ibu Hamil</t>
  </si>
  <si>
    <t>Pelayanan Kesehatan Ibu Bersalin dan Kematian Ibu Pelayanan Kesehatan Ibu Bersalin</t>
  </si>
  <si>
    <t>Pelayanan Kesehatan Bayi Baru Lahir</t>
  </si>
  <si>
    <t>Pelayanan Kesehatan Balita</t>
  </si>
  <si>
    <t xml:space="preserve">Pelayanan Kesehatan pada Usia Pendidikan Dasar </t>
  </si>
  <si>
    <t>Pelayanan Kesehatan pada Usia Produktif</t>
  </si>
  <si>
    <t>Pelayanan Promosi Kesehatan</t>
  </si>
  <si>
    <t>Pelayanan Gizi</t>
  </si>
  <si>
    <t>Pelayanan Kesehatan pada Usia Lanjut</t>
  </si>
  <si>
    <t xml:space="preserve">Pelayanan Kesehatan Penderita Hipertensi </t>
  </si>
  <si>
    <t>Pelayanan Kesehatan Penderita Diabetes Melitus</t>
  </si>
  <si>
    <t>Pelayanan Kesehatan Orang Dengan Gangguan Jiwa (ODGJ) Berat</t>
  </si>
  <si>
    <t>Kesehatan Orang dengan Resiko Terinfeksi Virus yang Melemahkan Daya Tahan Tubuh Manusia (Human Immunodeficiency Virus =HIV)</t>
  </si>
  <si>
    <t>Jumlah orang yang mendapat Perkesmas</t>
  </si>
  <si>
    <t xml:space="preserve">Jumlah desa kelurahan binaan yang mendapatkan asuhan keperawatan </t>
  </si>
  <si>
    <t xml:space="preserve">Jumlah desa kelurahan binaan yang perlu mendapat asuhan keperawatan </t>
  </si>
  <si>
    <t>3</t>
  </si>
  <si>
    <t>SubAspek Pertumbuhan Produktivitas</t>
  </si>
  <si>
    <t>Length of Stay Non BPJS</t>
  </si>
  <si>
    <t>Lenghth of Stay BPJS</t>
  </si>
  <si>
    <t>Waktu Tunggu Hasil Laboratorium Pemeriksaan HB</t>
  </si>
  <si>
    <t>Kepatuhan Penggunaan Alat Pelindung Diri (APD)</t>
  </si>
  <si>
    <t>Kepatuhan Identifikasi Pasien</t>
  </si>
  <si>
    <t>Angka Kematian ≥ 48 Jam</t>
  </si>
  <si>
    <t>Angka Kesembuhan Pasien TB</t>
  </si>
  <si>
    <t>SubAspek Kepedulian pada Masyarakat dan Pelanggan</t>
  </si>
  <si>
    <t>Penanganan Pengaduan/Komplain</t>
  </si>
  <si>
    <t>Mutu Farmasi di Puskesmas</t>
  </si>
  <si>
    <t>SubAspek Kepedulian terhadap Lingkungan</t>
  </si>
  <si>
    <t>4</t>
  </si>
  <si>
    <t>Piutang Usaha x 360</t>
  </si>
  <si>
    <t>Pendapatan Usaha</t>
  </si>
  <si>
    <t>Total Persediaan x 365</t>
  </si>
  <si>
    <t>Pendapatan BLUD (Non APBD) dan PBD - LO</t>
  </si>
  <si>
    <t>Surplus/defisit operasional</t>
  </si>
  <si>
    <r>
      <t>Imbalan atas Aset Tetap (</t>
    </r>
    <r>
      <rPr>
        <b/>
        <i/>
        <sz val="11"/>
        <color theme="1"/>
        <rFont val="Calibri"/>
        <family val="2"/>
        <scheme val="minor"/>
      </rPr>
      <t>Return on Fixed Aset</t>
    </r>
    <r>
      <rPr>
        <b/>
        <sz val="11"/>
        <color theme="1"/>
        <rFont val="Calibri"/>
        <family val="2"/>
        <scheme val="minor"/>
      </rPr>
      <t>)</t>
    </r>
  </si>
  <si>
    <r>
      <t>Perputaran Persediaan (</t>
    </r>
    <r>
      <rPr>
        <b/>
        <i/>
        <sz val="11"/>
        <color theme="1"/>
        <rFont val="Calibri"/>
        <family val="2"/>
        <scheme val="minor"/>
      </rPr>
      <t>Inventory Turnover</t>
    </r>
    <r>
      <rPr>
        <b/>
        <sz val="11"/>
        <color theme="1"/>
        <rFont val="Calibri"/>
        <family val="2"/>
        <scheme val="minor"/>
      </rPr>
      <t>)</t>
    </r>
  </si>
  <si>
    <r>
      <t>Perputaran Aset Tetap (</t>
    </r>
    <r>
      <rPr>
        <b/>
        <i/>
        <sz val="11"/>
        <color theme="1"/>
        <rFont val="Calibri"/>
        <family val="2"/>
        <scheme val="minor"/>
      </rPr>
      <t>Fixed Asset Turnover</t>
    </r>
    <r>
      <rPr>
        <b/>
        <sz val="11"/>
        <color theme="1"/>
        <rFont val="Calibri"/>
        <family val="2"/>
        <scheme val="minor"/>
      </rPr>
      <t>)</t>
    </r>
  </si>
  <si>
    <r>
      <t>Periode Penagihan Piutang (</t>
    </r>
    <r>
      <rPr>
        <b/>
        <i/>
        <sz val="11"/>
        <color theme="1"/>
        <rFont val="Calibri"/>
        <family val="2"/>
        <scheme val="minor"/>
      </rPr>
      <t>Collection Period</t>
    </r>
    <r>
      <rPr>
        <b/>
        <sz val="11"/>
        <color theme="1"/>
        <rFont val="Calibri"/>
        <family val="2"/>
        <scheme val="minor"/>
      </rPr>
      <t>)</t>
    </r>
  </si>
  <si>
    <r>
      <t>Imbalan atas Ekuitas (</t>
    </r>
    <r>
      <rPr>
        <b/>
        <i/>
        <sz val="11"/>
        <color theme="1"/>
        <rFont val="Calibri"/>
        <family val="2"/>
        <scheme val="minor"/>
      </rPr>
      <t>Return in Equity</t>
    </r>
    <r>
      <rPr>
        <b/>
        <sz val="11"/>
        <color theme="1"/>
        <rFont val="Calibri"/>
        <family val="2"/>
        <scheme val="minor"/>
      </rPr>
      <t>)</t>
    </r>
  </si>
  <si>
    <t>Ekuitas – surplus/defisit operasional</t>
  </si>
  <si>
    <r>
      <t>Rasio Kas (</t>
    </r>
    <r>
      <rPr>
        <b/>
        <i/>
        <sz val="11"/>
        <color theme="1"/>
        <rFont val="Calibri"/>
        <family val="2"/>
        <scheme val="minor"/>
      </rPr>
      <t>Cash Ratio</t>
    </r>
    <r>
      <rPr>
        <b/>
        <sz val="11"/>
        <color theme="1"/>
        <rFont val="Calibri"/>
        <family val="2"/>
        <scheme val="minor"/>
      </rPr>
      <t>)</t>
    </r>
  </si>
  <si>
    <r>
      <t>Rasio Lancar (</t>
    </r>
    <r>
      <rPr>
        <b/>
        <i/>
        <sz val="11"/>
        <color theme="1"/>
        <rFont val="Calibri"/>
        <family val="2"/>
        <scheme val="minor"/>
      </rPr>
      <t xml:space="preserve"> Current Rasio </t>
    </r>
    <r>
      <rPr>
        <b/>
        <sz val="11"/>
        <color theme="1"/>
        <rFont val="Calibri"/>
        <family val="2"/>
        <scheme val="minor"/>
      </rPr>
      <t>)</t>
    </r>
  </si>
  <si>
    <t xml:space="preserve">KINERJA MEMENUHI SELURUH KEWAJIBAN </t>
  </si>
  <si>
    <r>
      <t xml:space="preserve">Rasio Pendapatan BLUD non APBD-LO terhadap Biaya Operasional / </t>
    </r>
    <r>
      <rPr>
        <b/>
        <i/>
        <sz val="11"/>
        <color theme="1"/>
        <rFont val="Calibri"/>
        <family val="2"/>
        <scheme val="minor"/>
      </rPr>
      <t>Cost Recovery Rate</t>
    </r>
    <r>
      <rPr>
        <b/>
        <sz val="11"/>
        <color theme="1"/>
        <rFont val="Calibri"/>
        <family val="2"/>
        <scheme val="minor"/>
      </rPr>
      <t xml:space="preserve"> (PB)</t>
    </r>
  </si>
  <si>
    <r>
      <t xml:space="preserve">Rasio Pendapatan BLUD non APBD-LO terhadap Biaya Operasional ( </t>
    </r>
    <r>
      <rPr>
        <b/>
        <i/>
        <sz val="11"/>
        <color theme="1"/>
        <rFont val="Calibri"/>
        <family val="2"/>
        <scheme val="minor"/>
      </rPr>
      <t>Cost Recovery Rate</t>
    </r>
    <r>
      <rPr>
        <b/>
        <sz val="11"/>
        <color theme="1"/>
        <rFont val="Calibri"/>
        <family val="2"/>
        <scheme val="minor"/>
      </rPr>
      <t xml:space="preserve"> )</t>
    </r>
  </si>
  <si>
    <t>Kemampuan Puskesmas dalam memperoleh pendapatan secara mandiri</t>
  </si>
  <si>
    <t>*Pilihan Jawaban</t>
  </si>
  <si>
    <t>*Rumus</t>
  </si>
  <si>
    <t>Rata-rata kunjungan rawat jalan per hari pada satu periode yang sama di tahun lalu</t>
  </si>
  <si>
    <t xml:space="preserve">Rata-rata kunjungan rawat jalan per hari pada satu periode </t>
  </si>
  <si>
    <t>Rata-rata kunjungan rawat jalan per hari dihitung berdasarkan jumlah kunjungan rawat jalan pada satu periode dibagi dengan jumlah hari kerja dalam satu periode yang sama</t>
  </si>
  <si>
    <t>Jumlah hari perawatan rawat inap pada periode yang sama di tahun lalu</t>
  </si>
  <si>
    <t>Hari perawatan dihitung berdasarkan jumlah pasien dalam perawatan di ruangan selama satu hari (24 jam) dalam satu periode dibagi dengan jumlah hari kerja dalam periode yang sama</t>
  </si>
  <si>
    <t xml:space="preserve">Jumlah hari perawatan rawat inap pada satu periode </t>
  </si>
  <si>
    <t>Rata-rata pemeriksaan laboratorium per hari pada satu periode</t>
  </si>
  <si>
    <t>Rata-rata pemeriksaan laboratorium per hari pada periode  yang sama di tahun lalu</t>
  </si>
  <si>
    <t>Rata-rata pemeriksaan laboratorium per hari  dihitung berdasarkan jumlah pemeriksaan laboratorium selama satu periode dibagi dengan jumlah hari kerja di unit layanan laboratorium dalam periode yang sama</t>
  </si>
  <si>
    <t>Jumlah ibu hamil mendapat pelayanan ANC dalam 1 periode</t>
  </si>
  <si>
    <t>Jumlah anak usia pendidikan dasar yang mendapat pelayanan kesehatan dlm 1 periode</t>
  </si>
  <si>
    <t>Ada Sanitasi Total Berbasis Masyarakat / Inspeksi Kesehatan Lingkungan</t>
  </si>
  <si>
    <t>Pelayanan Gizi Ibu Hamil Kurang Energi Kronis (PGKEK)</t>
  </si>
  <si>
    <t>Jumlah ibu hamil Kurang Energi Kronis</t>
  </si>
  <si>
    <t>Kasus Obat Look Alike Sound Alike (LASA)</t>
  </si>
  <si>
    <t xml:space="preserve">Pendapatan operasional - LO </t>
  </si>
  <si>
    <t>Kemampuan memperoleh pendapatan secara mandiri (PPNP)</t>
  </si>
  <si>
    <t>SKOR MAKSIMAL PUSKESMAS NON RAWAT INAP</t>
  </si>
  <si>
    <t>Manajemen Sumber Daya Puskesmas (BMD)</t>
  </si>
  <si>
    <t>Manajemen Sumber Daya Manusia Puskesmas (SDM)</t>
  </si>
  <si>
    <t>Manajemen Keuangan dan BMD</t>
  </si>
  <si>
    <t>Pelayanan Kesehatan Ibu Bersalin dan Angka Kematian Ibu</t>
  </si>
  <si>
    <t>Pelayanan Kesehatan pada Usia Pendidikan Dasar</t>
  </si>
  <si>
    <t>Pelayanan Kesehatan Penderita Hipertensi</t>
  </si>
  <si>
    <t>Pelayanan Kesehatan orang Dengan Gangguan Jiwa (ODGJ) Berat</t>
  </si>
  <si>
    <t xml:space="preserve">Pelayanan Kesehatan Tradisional </t>
  </si>
  <si>
    <t>Jumlah orang yang Mendapat Puskesmas</t>
  </si>
  <si>
    <t>Jumlah desa kelurahan binaan yang mendapatkan asuhan keperawatan</t>
  </si>
  <si>
    <t>q</t>
  </si>
  <si>
    <t>Pelayanan Kesehatan Orang Dengan Risiko Terinfeksi Virus yang Melemahkan Daya Tahan Tubuh Manusia (Human Immunodeficiency Virus/HIV)</t>
  </si>
  <si>
    <t>Length Of Stay Non BPJS</t>
  </si>
  <si>
    <t>Lenght of Stay BPJS</t>
  </si>
  <si>
    <r>
      <t xml:space="preserve">Angka Kematian </t>
    </r>
    <r>
      <rPr>
        <sz val="11"/>
        <color rgb="FF000000"/>
        <rFont val="Calibri"/>
        <family val="2"/>
      </rPr>
      <t>≥ 48 Jam</t>
    </r>
  </si>
  <si>
    <t>Angka kesembuhan pasien TB</t>
  </si>
  <si>
    <t>Kepuasan pasien</t>
  </si>
  <si>
    <t xml:space="preserve">Pengolahan Air Limbah </t>
  </si>
  <si>
    <t>Pengolahan Limbah Infeksius</t>
  </si>
  <si>
    <t>SKOR KINERJA NONKEUANGAN</t>
  </si>
  <si>
    <t>Imbalan Ekuitas (Return on Equity)</t>
  </si>
  <si>
    <t>Rasio Pendapatan BLUD non APBD terhadap Biaya Operasional / Cost Recovery Rate</t>
  </si>
  <si>
    <t>Ada Sanitasi Total Berbasis Masyarakat dan Inspeksi Kesehatan Lingkungan</t>
  </si>
  <si>
    <t>KAK &lt; 0,20</t>
  </si>
  <si>
    <t>KAK &gt;= 0,9</t>
  </si>
  <si>
    <t>0,6 &lt;= KAK &lt; 0,9</t>
  </si>
  <si>
    <t>0,2&lt;= KAK &lt; 0,6</t>
  </si>
  <si>
    <t>NILAI NON RAWAT INAP</t>
  </si>
  <si>
    <t>Jumlah ibu meninggal karena hamil, bersalin, nifas, bukan kecelakaan dlm 1 periode</t>
  </si>
  <si>
    <t>Jumlah orang terduga TBC yang dilakukan pemeriksaan penunjang dalam 1 periode</t>
  </si>
  <si>
    <r>
      <t xml:space="preserve">Jumlah </t>
    </r>
    <r>
      <rPr>
        <b/>
        <sz val="11"/>
        <color rgb="FF0070C0"/>
        <rFont val="Calibri"/>
        <family val="2"/>
        <scheme val="minor"/>
      </rPr>
      <t>Ekuitas</t>
    </r>
  </si>
  <si>
    <t>Kesesuaian Resep dengan Formularium (KRF)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</si>
  <si>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</si>
  <si>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</si>
  <si>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</si>
  <si>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</si>
  <si>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</si>
  <si>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</si>
  <si>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</si>
  <si>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</si>
  <si>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</si>
  <si>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</si>
  <si>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</si>
  <si>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</si>
  <si>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</si>
  <si>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</si>
  <si>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</si>
  <si>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</si>
  <si>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</si>
  <si>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REALISASI SKOR PUSKESMAS NON RAWAT INAP</t>
  </si>
  <si>
    <t>$skor_111_A_Total</t>
  </si>
  <si>
    <t>$skor_111_B_Total</t>
  </si>
  <si>
    <t>$skor_111_C_Total</t>
  </si>
  <si>
    <t>$skor_111_D_Total</t>
  </si>
  <si>
    <t>$subTotal_111_E</t>
  </si>
  <si>
    <t>$subTotal_111_F</t>
  </si>
  <si>
    <t>$subTotal_111_G</t>
  </si>
  <si>
    <t>$skor_11_Total</t>
  </si>
  <si>
    <t>$skor_111_Total</t>
  </si>
  <si>
    <t>$skor_21_Total</t>
  </si>
  <si>
    <t>$skor_211_Total</t>
  </si>
  <si>
    <t>$subTotal_211_A</t>
  </si>
  <si>
    <t>$subTotal_211_B</t>
  </si>
  <si>
    <t>$subTotal_211_C</t>
  </si>
  <si>
    <t>$skor_212_Total</t>
  </si>
  <si>
    <t>$skor_31_Total</t>
  </si>
  <si>
    <t>$skor_311_Total</t>
  </si>
  <si>
    <t>$skor_312_Total</t>
  </si>
  <si>
    <t>$skor_313_Total</t>
  </si>
  <si>
    <t>4.1</t>
  </si>
  <si>
    <t>KINERJA PERSPEKTIF KEUANGAN</t>
  </si>
  <si>
    <t>$skor_41_Total</t>
  </si>
  <si>
    <t>$skor_411_Total</t>
  </si>
  <si>
    <t>$skor_412_Total</t>
  </si>
  <si>
    <t>$skor_413_Total</t>
  </si>
  <si>
    <t>$skor_414_Total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</si>
</sst>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sz val="10"/>
      <name val="Tahoma"/>
      <family val="2"/>
    </font>
    <font>
      <sz val="11"/>
      <color rgb="FF000000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Font="1" applyBorder="1"/>
    <xf numFmtId="0" fontId="0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6" fillId="0" borderId="0" xfId="0" applyFont="1"/>
    <xf numFmtId="0" fontId="0" fillId="0" borderId="1" xfId="0" applyFont="1" applyBorder="1" applyAlignment="1">
      <alignment horizontal="left" vertical="center"/>
    </xf>
    <xf numFmtId="0" fontId="0" fillId="0" borderId="2" xfId="0" applyFont="1" applyBorder="1"/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wrapText="1"/>
    </xf>
    <xf numFmtId="0" fontId="6" fillId="0" borderId="1" xfId="0" applyFont="1" applyBorder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6" fillId="0" borderId="0" xfId="0" applyFont="1" applyAlignment="1">
      <alignment vertical="center"/>
    </xf>
    <xf numFmtId="0" fontId="1" fillId="3" borderId="1" xfId="0" applyFont="1" applyFill="1" applyBorder="1" applyAlignment="1">
      <alignment horizontal="left" vertical="center"/>
    </xf>
    <xf numFmtId="0" fontId="0" fillId="3" borderId="2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49" fontId="1" fillId="0" borderId="1" xfId="0" applyNumberFormat="1" applyFont="1" applyBorder="1" applyAlignment="1">
      <alignment horizontal="left" vertical="center"/>
    </xf>
    <xf numFmtId="49" fontId="0" fillId="0" borderId="2" xfId="0" applyNumberFormat="1" applyFont="1" applyBorder="1"/>
    <xf numFmtId="49" fontId="0" fillId="0" borderId="1" xfId="0" applyNumberFormat="1" applyFont="1" applyBorder="1"/>
    <xf numFmtId="49" fontId="1" fillId="0" borderId="2" xfId="0" applyNumberFormat="1" applyFont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top"/>
    </xf>
    <xf numFmtId="0" fontId="1" fillId="0" borderId="1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1" fillId="0" borderId="4" xfId="0" applyFont="1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1" xfId="0" applyFon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0" xfId="0" applyFont="1" applyBorder="1" applyAlignment="1">
      <alignment horizontal="left"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Border="1" applyAlignment="1">
      <alignment vertical="center" wrapText="1"/>
    </xf>
    <xf numFmtId="0" fontId="0" fillId="0" borderId="4" xfId="0" applyFont="1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/>
    </xf>
    <xf numFmtId="0" fontId="0" fillId="5" borderId="2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0" fillId="5" borderId="2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horizontal="center" vertical="center"/>
    </xf>
    <xf numFmtId="49" fontId="0" fillId="0" borderId="2" xfId="0" applyNumberFormat="1" applyFont="1" applyFill="1" applyBorder="1"/>
    <xf numFmtId="0" fontId="6" fillId="6" borderId="1" xfId="0" applyFont="1" applyFill="1" applyBorder="1"/>
    <xf numFmtId="0" fontId="1" fillId="6" borderId="1" xfId="0" applyFont="1" applyFill="1" applyBorder="1" applyAlignment="1">
      <alignment horizontal="left" vertical="center" wrapText="1"/>
    </xf>
    <xf numFmtId="0" fontId="0" fillId="5" borderId="1" xfId="0" applyFont="1" applyFill="1" applyBorder="1" applyAlignment="1">
      <alignment horizontal="left" vertical="center"/>
    </xf>
    <xf numFmtId="0" fontId="0" fillId="5" borderId="1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9" xfId="0" applyFont="1" applyFill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Font="1" applyFill="1"/>
    <xf numFmtId="0" fontId="0" fillId="2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right"/>
    </xf>
    <xf numFmtId="0" fontId="1" fillId="4" borderId="1" xfId="0" applyFont="1" applyFill="1" applyBorder="1" applyAlignment="1">
      <alignment horizontal="right" vertical="center"/>
    </xf>
    <xf numFmtId="49" fontId="1" fillId="0" borderId="2" xfId="0" applyNumberFormat="1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49" fontId="1" fillId="0" borderId="2" xfId="0" applyNumberFormat="1" applyFont="1" applyBorder="1" applyAlignment="1">
      <alignment horizontal="right"/>
    </xf>
    <xf numFmtId="0" fontId="1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5" fillId="0" borderId="2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4" fillId="0" borderId="4" xfId="0" applyFon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6" borderId="2" xfId="0" applyFont="1" applyFill="1" applyBorder="1" applyAlignment="1">
      <alignment horizontal="left" vertical="center"/>
    </xf>
    <xf numFmtId="0" fontId="0" fillId="6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 wrapText="1"/>
    </xf>
    <xf numFmtId="0" fontId="0" fillId="0" borderId="4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0" fillId="6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1" fillId="3" borderId="3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top" wrapText="1"/>
    </xf>
    <xf numFmtId="0" fontId="0" fillId="0" borderId="2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vertical="center" wrapText="1"/>
    </xf>
    <xf numFmtId="0" fontId="0" fillId="6" borderId="4" xfId="0" applyFill="1" applyBorder="1" applyAlignment="1">
      <alignment vertical="center" wrapText="1"/>
    </xf>
    <xf numFmtId="0" fontId="0" fillId="6" borderId="2" xfId="0" applyFill="1" applyBorder="1" applyAlignment="1">
      <alignment vertical="center"/>
    </xf>
    <xf numFmtId="0" fontId="0" fillId="6" borderId="4" xfId="0" applyFill="1" applyBorder="1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0" fillId="6" borderId="2" xfId="0" applyFill="1" applyBorder="1" applyAlignment="1">
      <alignment horizontal="left" vertical="center" wrapText="1"/>
    </xf>
    <xf numFmtId="0" fontId="0" fillId="6" borderId="4" xfId="0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left" vertical="center" wrapText="1"/>
    </xf>
    <xf numFmtId="0" fontId="1" fillId="7" borderId="4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0" fillId="6" borderId="4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1" xfId="0" quotePrefix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5"/>
  <sheetViews>
    <sheetView tabSelected="1" topLeftCell="A18" workbookViewId="0">
      <selection activeCell="K32" sqref="K32"/>
    </sheetView>
  </sheetViews>
  <sheetFormatPr defaultRowHeight="15" x14ac:dyDescent="0.25"/>
  <cols>
    <col min="1" max="1" width="5.85546875" customWidth="1"/>
    <col min="2" max="2" width="3.42578125" customWidth="1"/>
    <col min="3" max="3" width="41.85546875" customWidth="1"/>
    <col min="4" max="4" width="13.85546875" customWidth="1"/>
    <col min="5" max="5" width="17.7109375" style="3" bestFit="1" customWidth="1"/>
  </cols>
  <sheetData>
    <row r="1" spans="1:5" s="3" customFormat="1" ht="74.25" customHeight="1" x14ac:dyDescent="0.25">
      <c r="A1" s="5" t="s">
        <v>83</v>
      </c>
      <c r="B1" s="130" t="s">
        <v>84</v>
      </c>
      <c r="C1" s="130"/>
      <c r="D1" s="6" t="s">
        <v>369</v>
      </c>
      <c r="E1" s="6" t="s">
        <v>419</v>
      </c>
    </row>
    <row r="2" spans="1:5" ht="36.6" customHeight="1" x14ac:dyDescent="0.25">
      <c r="A2" s="7">
        <v>1</v>
      </c>
      <c r="B2" s="127" t="s">
        <v>0</v>
      </c>
      <c r="C2" s="127"/>
      <c r="D2" s="6">
        <f>D4</f>
        <v>20</v>
      </c>
      <c r="E2" s="179">
        <f>IF(ISTEXT(E3),0,E3)</f>
        <v>0</v>
      </c>
    </row>
    <row r="3" spans="1:5" x14ac:dyDescent="0.25">
      <c r="A3" s="7" t="s">
        <v>1</v>
      </c>
      <c r="B3" s="126" t="s">
        <v>2</v>
      </c>
      <c r="C3" s="126"/>
      <c r="D3" s="9"/>
      <c r="E3" s="114" t="s">
        <v>427</v>
      </c>
    </row>
    <row r="4" spans="1:5" x14ac:dyDescent="0.25">
      <c r="A4" s="7" t="s">
        <v>3</v>
      </c>
      <c r="B4" s="126" t="s">
        <v>4</v>
      </c>
      <c r="C4" s="126"/>
      <c r="D4" s="55">
        <f>SUM(D5:D11)</f>
        <v>20</v>
      </c>
      <c r="E4" s="114" t="s">
        <v>428</v>
      </c>
    </row>
    <row r="5" spans="1:5" x14ac:dyDescent="0.25">
      <c r="A5" s="9"/>
      <c r="B5" s="10" t="s">
        <v>5</v>
      </c>
      <c r="C5" s="11" t="s">
        <v>291</v>
      </c>
      <c r="D5" s="10">
        <v>3</v>
      </c>
      <c r="E5" s="10" t="s">
        <v>420</v>
      </c>
    </row>
    <row r="6" spans="1:5" x14ac:dyDescent="0.25">
      <c r="A6" s="9"/>
      <c r="B6" s="10" t="s">
        <v>17</v>
      </c>
      <c r="C6" s="11" t="s">
        <v>370</v>
      </c>
      <c r="D6" s="10">
        <v>3</v>
      </c>
      <c r="E6" s="10" t="s">
        <v>421</v>
      </c>
    </row>
    <row r="7" spans="1:5" ht="30" x14ac:dyDescent="0.25">
      <c r="A7" s="9"/>
      <c r="B7" s="10" t="s">
        <v>18</v>
      </c>
      <c r="C7" s="12" t="s">
        <v>371</v>
      </c>
      <c r="D7" s="10">
        <v>3</v>
      </c>
      <c r="E7" s="10" t="s">
        <v>422</v>
      </c>
    </row>
    <row r="8" spans="1:5" x14ac:dyDescent="0.25">
      <c r="A8" s="9"/>
      <c r="B8" s="10" t="s">
        <v>19</v>
      </c>
      <c r="C8" s="11" t="s">
        <v>372</v>
      </c>
      <c r="D8" s="10">
        <v>3</v>
      </c>
      <c r="E8" s="10" t="s">
        <v>423</v>
      </c>
    </row>
    <row r="9" spans="1:5" x14ac:dyDescent="0.25">
      <c r="A9" s="9"/>
      <c r="B9" s="10" t="s">
        <v>20</v>
      </c>
      <c r="C9" s="11" t="s">
        <v>295</v>
      </c>
      <c r="D9" s="10">
        <v>3</v>
      </c>
      <c r="E9" s="10" t="s">
        <v>424</v>
      </c>
    </row>
    <row r="10" spans="1:5" x14ac:dyDescent="0.25">
      <c r="A10" s="9"/>
      <c r="B10" s="10" t="s">
        <v>21</v>
      </c>
      <c r="C10" s="12" t="s">
        <v>296</v>
      </c>
      <c r="D10" s="10">
        <v>2</v>
      </c>
      <c r="E10" s="10" t="s">
        <v>425</v>
      </c>
    </row>
    <row r="11" spans="1:5" x14ac:dyDescent="0.25">
      <c r="A11" s="9"/>
      <c r="B11" s="10" t="s">
        <v>22</v>
      </c>
      <c r="C11" s="11" t="s">
        <v>297</v>
      </c>
      <c r="D11" s="10">
        <v>3</v>
      </c>
      <c r="E11" s="10" t="s">
        <v>426</v>
      </c>
    </row>
    <row r="12" spans="1:5" x14ac:dyDescent="0.25">
      <c r="A12" s="17"/>
      <c r="B12" s="18"/>
      <c r="C12" s="19"/>
      <c r="D12" s="9"/>
      <c r="E12" s="10"/>
    </row>
    <row r="13" spans="1:5" ht="15" customHeight="1" x14ac:dyDescent="0.25">
      <c r="A13" s="7">
        <v>2</v>
      </c>
      <c r="B13" s="127" t="s">
        <v>47</v>
      </c>
      <c r="C13" s="127"/>
      <c r="D13" s="6">
        <f>D15+D20</f>
        <v>35</v>
      </c>
      <c r="E13" s="179">
        <f>IF(ISTEXT(E14),0,E14)</f>
        <v>0</v>
      </c>
    </row>
    <row r="14" spans="1:5" x14ac:dyDescent="0.25">
      <c r="A14" s="7" t="s">
        <v>40</v>
      </c>
      <c r="B14" s="126" t="s">
        <v>2</v>
      </c>
      <c r="C14" s="126"/>
      <c r="D14" s="9"/>
      <c r="E14" s="114" t="s">
        <v>429</v>
      </c>
    </row>
    <row r="15" spans="1:5" x14ac:dyDescent="0.25">
      <c r="A15" s="7" t="s">
        <v>41</v>
      </c>
      <c r="B15" s="126" t="s">
        <v>48</v>
      </c>
      <c r="C15" s="126"/>
      <c r="D15" s="55">
        <f>SUM(D16:D18)</f>
        <v>6</v>
      </c>
      <c r="E15" s="114" t="s">
        <v>430</v>
      </c>
    </row>
    <row r="16" spans="1:5" x14ac:dyDescent="0.25">
      <c r="A16" s="9"/>
      <c r="B16" s="10" t="s">
        <v>5</v>
      </c>
      <c r="C16" s="11" t="s">
        <v>42</v>
      </c>
      <c r="D16" s="10">
        <v>3</v>
      </c>
      <c r="E16" s="10" t="s">
        <v>431</v>
      </c>
    </row>
    <row r="17" spans="1:5" x14ac:dyDescent="0.25">
      <c r="A17" s="9"/>
      <c r="B17" s="10" t="s">
        <v>17</v>
      </c>
      <c r="C17" s="11" t="s">
        <v>43</v>
      </c>
      <c r="D17" s="10">
        <v>0</v>
      </c>
      <c r="E17" s="10" t="s">
        <v>432</v>
      </c>
    </row>
    <row r="18" spans="1:5" x14ac:dyDescent="0.25">
      <c r="A18" s="9"/>
      <c r="B18" s="10" t="s">
        <v>18</v>
      </c>
      <c r="C18" s="11" t="s">
        <v>301</v>
      </c>
      <c r="D18" s="10">
        <v>3</v>
      </c>
      <c r="E18" s="10" t="s">
        <v>433</v>
      </c>
    </row>
    <row r="19" spans="1:5" x14ac:dyDescent="0.25">
      <c r="A19" s="17"/>
      <c r="B19" s="18"/>
      <c r="C19" s="19"/>
      <c r="D19" s="9"/>
      <c r="E19" s="10"/>
    </row>
    <row r="20" spans="1:5" ht="14.45" customHeight="1" x14ac:dyDescent="0.25">
      <c r="A20" s="7" t="s">
        <v>62</v>
      </c>
      <c r="B20" s="126" t="s">
        <v>44</v>
      </c>
      <c r="C20" s="126"/>
      <c r="D20" s="55">
        <f>SUM(D21:D37)</f>
        <v>29</v>
      </c>
      <c r="E20" s="114" t="s">
        <v>434</v>
      </c>
    </row>
    <row r="21" spans="1:5" x14ac:dyDescent="0.25">
      <c r="A21" s="9"/>
      <c r="B21" s="10" t="s">
        <v>5</v>
      </c>
      <c r="C21" s="13" t="s">
        <v>303</v>
      </c>
      <c r="D21" s="10">
        <v>2</v>
      </c>
      <c r="E21" s="10" t="str">
        <f>Input!F68</f>
        <v>2</v>
      </c>
    </row>
    <row r="22" spans="1:5" ht="30" x14ac:dyDescent="0.25">
      <c r="A22" s="9"/>
      <c r="B22" s="10" t="s">
        <v>17</v>
      </c>
      <c r="C22" s="13" t="s">
        <v>373</v>
      </c>
      <c r="D22" s="10">
        <v>2</v>
      </c>
      <c r="E22" s="10">
        <f>Input!F72</f>
        <v>2</v>
      </c>
    </row>
    <row r="23" spans="1:5" x14ac:dyDescent="0.25">
      <c r="A23" s="9"/>
      <c r="B23" s="10" t="s">
        <v>18</v>
      </c>
      <c r="C23" s="11" t="s">
        <v>305</v>
      </c>
      <c r="D23" s="10">
        <v>2</v>
      </c>
      <c r="E23" s="10" t="str">
        <f>Input!F79</f>
        <v>2</v>
      </c>
    </row>
    <row r="24" spans="1:5" x14ac:dyDescent="0.25">
      <c r="A24" s="9"/>
      <c r="B24" s="10" t="s">
        <v>19</v>
      </c>
      <c r="C24" s="11" t="s">
        <v>306</v>
      </c>
      <c r="D24" s="10">
        <v>2</v>
      </c>
      <c r="E24" s="10" t="str">
        <f>Input!F83</f>
        <v>2</v>
      </c>
    </row>
    <row r="25" spans="1:5" ht="30" x14ac:dyDescent="0.25">
      <c r="A25" s="9"/>
      <c r="B25" s="10" t="s">
        <v>20</v>
      </c>
      <c r="C25" s="13" t="s">
        <v>374</v>
      </c>
      <c r="D25" s="10">
        <v>2</v>
      </c>
      <c r="E25" s="10" t="str">
        <f>Input!F91</f>
        <v>2</v>
      </c>
    </row>
    <row r="26" spans="1:5" x14ac:dyDescent="0.25">
      <c r="A26" s="9"/>
      <c r="B26" s="10" t="s">
        <v>21</v>
      </c>
      <c r="C26" s="11" t="s">
        <v>308</v>
      </c>
      <c r="D26" s="10">
        <v>2</v>
      </c>
      <c r="E26" s="10" t="str">
        <f>Input!F91</f>
        <v>2</v>
      </c>
    </row>
    <row r="27" spans="1:5" x14ac:dyDescent="0.25">
      <c r="A27" s="9"/>
      <c r="B27" s="10" t="s">
        <v>22</v>
      </c>
      <c r="C27" s="11" t="s">
        <v>309</v>
      </c>
      <c r="D27" s="10">
        <v>1.5</v>
      </c>
      <c r="E27" s="10" t="str">
        <f>Input!F95</f>
        <v>1,5</v>
      </c>
    </row>
    <row r="28" spans="1:5" x14ac:dyDescent="0.25">
      <c r="A28" s="9"/>
      <c r="B28" s="10" t="s">
        <v>23</v>
      </c>
      <c r="C28" s="12" t="s">
        <v>218</v>
      </c>
      <c r="D28" s="10">
        <v>1.5</v>
      </c>
      <c r="E28" s="10" t="str">
        <f>Input!F99</f>
        <v>1,5</v>
      </c>
    </row>
    <row r="29" spans="1:5" x14ac:dyDescent="0.25">
      <c r="A29" s="9"/>
      <c r="B29" s="10" t="s">
        <v>24</v>
      </c>
      <c r="C29" s="11" t="s">
        <v>310</v>
      </c>
      <c r="D29" s="10">
        <v>1.5</v>
      </c>
      <c r="E29" s="10">
        <f>Input!F102</f>
        <v>1.5</v>
      </c>
    </row>
    <row r="30" spans="1:5" x14ac:dyDescent="0.25">
      <c r="A30" s="9"/>
      <c r="B30" s="10" t="s">
        <v>25</v>
      </c>
      <c r="C30" s="11" t="s">
        <v>311</v>
      </c>
      <c r="D30" s="10">
        <v>2</v>
      </c>
      <c r="E30" s="10" t="str">
        <f>Input!F112</f>
        <v>2</v>
      </c>
    </row>
    <row r="31" spans="1:5" x14ac:dyDescent="0.25">
      <c r="A31" s="9"/>
      <c r="B31" s="10" t="s">
        <v>26</v>
      </c>
      <c r="C31" s="11" t="s">
        <v>375</v>
      </c>
      <c r="D31" s="10">
        <v>2</v>
      </c>
      <c r="E31" s="10" t="str">
        <f>Input!F116</f>
        <v>2</v>
      </c>
    </row>
    <row r="32" spans="1:5" ht="26.25" customHeight="1" x14ac:dyDescent="0.25">
      <c r="A32" s="17"/>
      <c r="B32" s="10" t="s">
        <v>56</v>
      </c>
      <c r="C32" s="13" t="s">
        <v>313</v>
      </c>
      <c r="D32" s="10">
        <v>2</v>
      </c>
      <c r="E32" s="10" t="str">
        <f>Input!F120</f>
        <v>2</v>
      </c>
    </row>
    <row r="33" spans="1:5" ht="30" x14ac:dyDescent="0.25">
      <c r="A33" s="17"/>
      <c r="B33" s="10" t="s">
        <v>57</v>
      </c>
      <c r="C33" s="13" t="s">
        <v>376</v>
      </c>
      <c r="D33" s="10">
        <v>2</v>
      </c>
      <c r="E33" s="10" t="str">
        <f>Input!F124</f>
        <v>2</v>
      </c>
    </row>
    <row r="34" spans="1:5" ht="60" x14ac:dyDescent="0.25">
      <c r="A34" s="17"/>
      <c r="B34" s="10" t="s">
        <v>58</v>
      </c>
      <c r="C34" s="13" t="s">
        <v>381</v>
      </c>
      <c r="D34" s="10">
        <v>2</v>
      </c>
      <c r="E34" s="10" t="str">
        <f>Input!F128</f>
        <v>2</v>
      </c>
    </row>
    <row r="35" spans="1:5" x14ac:dyDescent="0.25">
      <c r="A35" s="17"/>
      <c r="B35" s="10" t="s">
        <v>59</v>
      </c>
      <c r="C35" s="56" t="s">
        <v>377</v>
      </c>
      <c r="D35" s="10">
        <v>0.5</v>
      </c>
      <c r="E35" s="10" t="str">
        <f>Input!F132</f>
        <v>0,5</v>
      </c>
    </row>
    <row r="36" spans="1:5" x14ac:dyDescent="0.25">
      <c r="A36" s="17"/>
      <c r="B36" s="10" t="s">
        <v>60</v>
      </c>
      <c r="C36" s="56" t="s">
        <v>378</v>
      </c>
      <c r="D36" s="10">
        <v>1</v>
      </c>
      <c r="E36" s="10" t="str">
        <f>Input!F135</f>
        <v>1</v>
      </c>
    </row>
    <row r="37" spans="1:5" ht="30" x14ac:dyDescent="0.25">
      <c r="A37" s="9"/>
      <c r="B37" s="21" t="s">
        <v>380</v>
      </c>
      <c r="C37" s="13" t="s">
        <v>379</v>
      </c>
      <c r="D37" s="10">
        <v>1</v>
      </c>
      <c r="E37" s="10" t="str">
        <f>Input!F139</f>
        <v>1</v>
      </c>
    </row>
    <row r="38" spans="1:5" x14ac:dyDescent="0.25">
      <c r="A38" s="17"/>
      <c r="B38" s="18"/>
      <c r="C38" s="19"/>
      <c r="D38" s="10"/>
      <c r="E38" s="10"/>
    </row>
    <row r="39" spans="1:5" s="4" customFormat="1" ht="14.45" customHeight="1" x14ac:dyDescent="0.25">
      <c r="A39" s="28">
        <v>3</v>
      </c>
      <c r="B39" s="127" t="s">
        <v>49</v>
      </c>
      <c r="C39" s="127"/>
      <c r="D39" s="6">
        <f>D41+D52+D57</f>
        <v>25</v>
      </c>
      <c r="E39" s="179">
        <f>IF(ISTEXT(E40),0,E40)</f>
        <v>0</v>
      </c>
    </row>
    <row r="40" spans="1:5" s="4" customFormat="1" x14ac:dyDescent="0.25">
      <c r="A40" s="28" t="s">
        <v>45</v>
      </c>
      <c r="B40" s="126" t="s">
        <v>50</v>
      </c>
      <c r="C40" s="126"/>
      <c r="D40" s="29"/>
      <c r="E40" s="114" t="s">
        <v>435</v>
      </c>
    </row>
    <row r="41" spans="1:5" s="4" customFormat="1" x14ac:dyDescent="0.25">
      <c r="A41" s="28" t="s">
        <v>46</v>
      </c>
      <c r="B41" s="126" t="s">
        <v>51</v>
      </c>
      <c r="C41" s="126"/>
      <c r="D41" s="90">
        <f>SUM(D42:D50)</f>
        <v>17.5</v>
      </c>
      <c r="E41" s="114" t="s">
        <v>436</v>
      </c>
    </row>
    <row r="42" spans="1:5" x14ac:dyDescent="0.25">
      <c r="A42" s="9"/>
      <c r="B42" s="10" t="s">
        <v>5</v>
      </c>
      <c r="C42" s="14" t="s">
        <v>52</v>
      </c>
      <c r="D42" s="10">
        <v>3</v>
      </c>
      <c r="E42" s="10" t="str">
        <f>Input!F146</f>
        <v>3</v>
      </c>
    </row>
    <row r="43" spans="1:5" x14ac:dyDescent="0.25">
      <c r="A43" s="9"/>
      <c r="B43" s="10" t="s">
        <v>17</v>
      </c>
      <c r="C43" s="15" t="s">
        <v>382</v>
      </c>
      <c r="D43" s="10">
        <v>0</v>
      </c>
      <c r="E43" s="10">
        <f>Input!F149</f>
        <v>0</v>
      </c>
    </row>
    <row r="44" spans="1:5" x14ac:dyDescent="0.25">
      <c r="A44" s="9"/>
      <c r="B44" s="10" t="s">
        <v>18</v>
      </c>
      <c r="C44" s="14" t="s">
        <v>383</v>
      </c>
      <c r="D44" s="10">
        <v>0</v>
      </c>
      <c r="E44" s="10">
        <f>Input!F153</f>
        <v>0</v>
      </c>
    </row>
    <row r="45" spans="1:5" ht="19.149999999999999" customHeight="1" x14ac:dyDescent="0.25">
      <c r="A45" s="9"/>
      <c r="B45" s="10" t="s">
        <v>19</v>
      </c>
      <c r="C45" s="13" t="s">
        <v>323</v>
      </c>
      <c r="D45" s="10">
        <v>3</v>
      </c>
      <c r="E45" s="10" t="str">
        <f>Input!F157</f>
        <v>3</v>
      </c>
    </row>
    <row r="46" spans="1:5" x14ac:dyDescent="0.25">
      <c r="A46" s="9"/>
      <c r="B46" s="10" t="s">
        <v>20</v>
      </c>
      <c r="C46" s="16" t="s">
        <v>53</v>
      </c>
      <c r="D46" s="10">
        <v>3</v>
      </c>
      <c r="E46" s="10" t="str">
        <f>Input!F160</f>
        <v>3</v>
      </c>
    </row>
    <row r="47" spans="1:5" x14ac:dyDescent="0.25">
      <c r="A47" s="9"/>
      <c r="B47" s="10" t="s">
        <v>21</v>
      </c>
      <c r="C47" s="15" t="s">
        <v>54</v>
      </c>
      <c r="D47" s="10">
        <v>3</v>
      </c>
      <c r="E47" s="10" t="str">
        <f>Input!F164</f>
        <v>3</v>
      </c>
    </row>
    <row r="48" spans="1:5" x14ac:dyDescent="0.25">
      <c r="A48" s="9"/>
      <c r="B48" s="10" t="s">
        <v>22</v>
      </c>
      <c r="C48" s="15" t="s">
        <v>55</v>
      </c>
      <c r="D48" s="10">
        <v>3</v>
      </c>
      <c r="E48" s="10" t="str">
        <f>Input!F168</f>
        <v>3</v>
      </c>
    </row>
    <row r="49" spans="1:5" x14ac:dyDescent="0.25">
      <c r="A49" s="9"/>
      <c r="B49" s="10" t="s">
        <v>23</v>
      </c>
      <c r="C49" s="15" t="s">
        <v>384</v>
      </c>
      <c r="D49" s="10">
        <v>0</v>
      </c>
      <c r="E49" s="10">
        <f>Input!F172</f>
        <v>0</v>
      </c>
    </row>
    <row r="50" spans="1:5" x14ac:dyDescent="0.25">
      <c r="A50" s="9"/>
      <c r="B50" s="10" t="s">
        <v>24</v>
      </c>
      <c r="C50" s="15" t="s">
        <v>385</v>
      </c>
      <c r="D50" s="10">
        <v>2.5</v>
      </c>
      <c r="E50" s="10">
        <f>Input!F176</f>
        <v>2.5</v>
      </c>
    </row>
    <row r="51" spans="1:5" x14ac:dyDescent="0.25">
      <c r="A51" s="17"/>
      <c r="B51" s="18"/>
      <c r="C51" s="19"/>
      <c r="D51" s="10"/>
      <c r="E51" s="10"/>
    </row>
    <row r="52" spans="1:5" ht="33" customHeight="1" x14ac:dyDescent="0.25">
      <c r="A52" s="28" t="s">
        <v>61</v>
      </c>
      <c r="B52" s="128" t="s">
        <v>328</v>
      </c>
      <c r="C52" s="129"/>
      <c r="D52" s="29">
        <f>SUM(D53:D55)</f>
        <v>4.5</v>
      </c>
      <c r="E52" s="114" t="s">
        <v>437</v>
      </c>
    </row>
    <row r="53" spans="1:5" x14ac:dyDescent="0.25">
      <c r="A53" s="9"/>
      <c r="B53" s="10" t="s">
        <v>5</v>
      </c>
      <c r="C53" s="11" t="s">
        <v>329</v>
      </c>
      <c r="D53" s="10">
        <v>1.5</v>
      </c>
      <c r="E53" s="10" t="str">
        <f>Input!F184</f>
        <v>1,5</v>
      </c>
    </row>
    <row r="54" spans="1:5" x14ac:dyDescent="0.25">
      <c r="A54" s="9"/>
      <c r="B54" s="10" t="s">
        <v>17</v>
      </c>
      <c r="C54" s="11" t="s">
        <v>386</v>
      </c>
      <c r="D54" s="10">
        <v>1.5</v>
      </c>
      <c r="E54" s="10" t="str">
        <f>Input!F188</f>
        <v>1,5</v>
      </c>
    </row>
    <row r="55" spans="1:5" x14ac:dyDescent="0.25">
      <c r="A55" s="9"/>
      <c r="B55" s="10" t="s">
        <v>18</v>
      </c>
      <c r="C55" s="11" t="s">
        <v>330</v>
      </c>
      <c r="D55" s="10">
        <v>1.5</v>
      </c>
      <c r="E55" s="10">
        <f>Input!F192</f>
        <v>1.5</v>
      </c>
    </row>
    <row r="56" spans="1:5" x14ac:dyDescent="0.25">
      <c r="A56" s="17"/>
      <c r="B56" s="18"/>
      <c r="C56" s="19"/>
      <c r="D56" s="10"/>
      <c r="E56" s="10"/>
    </row>
    <row r="57" spans="1:5" x14ac:dyDescent="0.25">
      <c r="A57" s="28" t="s">
        <v>63</v>
      </c>
      <c r="B57" s="126" t="s">
        <v>331</v>
      </c>
      <c r="C57" s="126"/>
      <c r="D57" s="29">
        <f>SUM(D58:D60)</f>
        <v>3</v>
      </c>
      <c r="E57" s="114" t="s">
        <v>438</v>
      </c>
    </row>
    <row r="58" spans="1:5" x14ac:dyDescent="0.25">
      <c r="A58" s="9"/>
      <c r="B58" s="10" t="s">
        <v>5</v>
      </c>
      <c r="C58" s="11" t="s">
        <v>387</v>
      </c>
      <c r="D58" s="10">
        <v>1</v>
      </c>
      <c r="E58" s="10" t="str">
        <f>Input!F200</f>
        <v>1</v>
      </c>
    </row>
    <row r="59" spans="1:5" s="4" customFormat="1" x14ac:dyDescent="0.25">
      <c r="A59" s="9"/>
      <c r="B59" s="10" t="s">
        <v>17</v>
      </c>
      <c r="C59" s="11" t="s">
        <v>388</v>
      </c>
      <c r="D59" s="10">
        <v>1</v>
      </c>
      <c r="E59" s="22" t="str">
        <f>Input!F203</f>
        <v>1</v>
      </c>
    </row>
    <row r="60" spans="1:5" x14ac:dyDescent="0.25">
      <c r="A60" s="9"/>
      <c r="B60" s="10" t="s">
        <v>18</v>
      </c>
      <c r="C60" s="11" t="s">
        <v>281</v>
      </c>
      <c r="D60" s="10">
        <v>1</v>
      </c>
      <c r="E60" s="10" t="str">
        <f>Input!F206</f>
        <v>1</v>
      </c>
    </row>
    <row r="61" spans="1:5" x14ac:dyDescent="0.25">
      <c r="A61" s="17"/>
      <c r="B61" s="21"/>
      <c r="C61" s="60"/>
      <c r="D61" s="10"/>
      <c r="E61" s="10"/>
    </row>
    <row r="62" spans="1:5" x14ac:dyDescent="0.25">
      <c r="A62" s="17"/>
      <c r="B62" s="21"/>
      <c r="C62" s="64" t="s">
        <v>389</v>
      </c>
      <c r="D62" s="10"/>
      <c r="E62" s="10"/>
    </row>
    <row r="63" spans="1:5" x14ac:dyDescent="0.25">
      <c r="A63" s="17"/>
      <c r="B63" s="18"/>
      <c r="D63" s="10"/>
      <c r="E63" s="10"/>
    </row>
    <row r="64" spans="1:5" x14ac:dyDescent="0.25">
      <c r="A64" s="28">
        <v>4</v>
      </c>
      <c r="B64" s="126" t="s">
        <v>65</v>
      </c>
      <c r="C64" s="126"/>
      <c r="D64" s="90">
        <f>D66+D73+D77+D81</f>
        <v>20</v>
      </c>
      <c r="E64" s="179">
        <f>IF(ISTEXT(E65),0,E65)</f>
        <v>0</v>
      </c>
    </row>
    <row r="65" spans="1:5" x14ac:dyDescent="0.25">
      <c r="A65" s="113" t="s">
        <v>439</v>
      </c>
      <c r="B65" s="126" t="s">
        <v>440</v>
      </c>
      <c r="C65" s="126"/>
      <c r="D65" s="114"/>
      <c r="E65" s="114" t="s">
        <v>441</v>
      </c>
    </row>
    <row r="66" spans="1:5" ht="30" customHeight="1" x14ac:dyDescent="0.25">
      <c r="A66" s="28" t="s">
        <v>66</v>
      </c>
      <c r="B66" s="127" t="s">
        <v>67</v>
      </c>
      <c r="C66" s="127"/>
      <c r="D66" s="29">
        <f>D67+D68+D69+D70+D71</f>
        <v>8</v>
      </c>
      <c r="E66" s="114" t="s">
        <v>442</v>
      </c>
    </row>
    <row r="67" spans="1:5" x14ac:dyDescent="0.25">
      <c r="A67" s="7"/>
      <c r="B67" s="10" t="s">
        <v>5</v>
      </c>
      <c r="C67" s="11" t="s">
        <v>68</v>
      </c>
      <c r="D67" s="10">
        <v>2</v>
      </c>
      <c r="E67" s="10" t="str">
        <f>Input!F211</f>
        <v>2</v>
      </c>
    </row>
    <row r="68" spans="1:5" x14ac:dyDescent="0.25">
      <c r="A68" s="7"/>
      <c r="B68" s="10" t="s">
        <v>17</v>
      </c>
      <c r="C68" s="11" t="s">
        <v>69</v>
      </c>
      <c r="D68" s="10">
        <v>2</v>
      </c>
      <c r="E68" s="10" t="str">
        <f>Input!F215</f>
        <v>2</v>
      </c>
    </row>
    <row r="69" spans="1:5" x14ac:dyDescent="0.25">
      <c r="A69" s="7"/>
      <c r="B69" s="10" t="s">
        <v>18</v>
      </c>
      <c r="C69" s="11" t="s">
        <v>70</v>
      </c>
      <c r="D69" s="10">
        <v>2</v>
      </c>
      <c r="E69" s="10" t="str">
        <f>Input!F219</f>
        <v>2</v>
      </c>
    </row>
    <row r="70" spans="1:5" x14ac:dyDescent="0.25">
      <c r="A70" s="7"/>
      <c r="B70" s="10" t="s">
        <v>19</v>
      </c>
      <c r="C70" s="11" t="s">
        <v>71</v>
      </c>
      <c r="D70" s="10">
        <v>1</v>
      </c>
      <c r="E70" s="10" t="str">
        <f>Input!F223</f>
        <v>1</v>
      </c>
    </row>
    <row r="71" spans="1:5" x14ac:dyDescent="0.25">
      <c r="A71" s="7"/>
      <c r="B71" s="10" t="s">
        <v>20</v>
      </c>
      <c r="C71" s="11" t="s">
        <v>390</v>
      </c>
      <c r="D71" s="10">
        <v>1</v>
      </c>
      <c r="E71" s="10" t="str">
        <f>Input!F227</f>
        <v>1</v>
      </c>
    </row>
    <row r="72" spans="1:5" s="4" customFormat="1" x14ac:dyDescent="0.25">
      <c r="A72" s="20"/>
      <c r="B72" s="21"/>
      <c r="C72" s="19"/>
      <c r="D72" s="10"/>
      <c r="E72" s="90"/>
    </row>
    <row r="73" spans="1:5" ht="28.9" customHeight="1" x14ac:dyDescent="0.25">
      <c r="A73" s="28" t="s">
        <v>72</v>
      </c>
      <c r="B73" s="127" t="s">
        <v>73</v>
      </c>
      <c r="C73" s="127"/>
      <c r="D73" s="29">
        <f>D74+D75</f>
        <v>4</v>
      </c>
      <c r="E73" s="114" t="s">
        <v>443</v>
      </c>
    </row>
    <row r="74" spans="1:5" x14ac:dyDescent="0.25">
      <c r="A74" s="7"/>
      <c r="B74" s="10" t="s">
        <v>5</v>
      </c>
      <c r="C74" s="11" t="s">
        <v>74</v>
      </c>
      <c r="D74" s="10">
        <v>2</v>
      </c>
      <c r="E74" s="10" t="str">
        <f>Input!F232</f>
        <v>2</v>
      </c>
    </row>
    <row r="75" spans="1:5" x14ac:dyDescent="0.25">
      <c r="A75" s="7"/>
      <c r="B75" s="10" t="s">
        <v>17</v>
      </c>
      <c r="C75" s="11" t="s">
        <v>75</v>
      </c>
      <c r="D75" s="10">
        <v>2</v>
      </c>
      <c r="E75" s="10" t="str">
        <f>Input!F236</f>
        <v>2</v>
      </c>
    </row>
    <row r="76" spans="1:5" x14ac:dyDescent="0.25">
      <c r="A76" s="20"/>
      <c r="B76" s="21"/>
      <c r="C76" s="19"/>
      <c r="D76" s="10"/>
      <c r="E76" s="10"/>
    </row>
    <row r="77" spans="1:5" x14ac:dyDescent="0.25">
      <c r="A77" s="28" t="s">
        <v>76</v>
      </c>
      <c r="B77" s="126" t="s">
        <v>77</v>
      </c>
      <c r="C77" s="126"/>
      <c r="D77" s="29">
        <f>D78+D79</f>
        <v>4</v>
      </c>
      <c r="E77" s="114" t="s">
        <v>444</v>
      </c>
    </row>
    <row r="78" spans="1:5" x14ac:dyDescent="0.25">
      <c r="A78" s="7"/>
      <c r="B78" s="10" t="s">
        <v>5</v>
      </c>
      <c r="C78" s="11" t="s">
        <v>78</v>
      </c>
      <c r="D78" s="10">
        <v>2</v>
      </c>
      <c r="E78" s="10" t="str">
        <f>Input!F241</f>
        <v>2</v>
      </c>
    </row>
    <row r="79" spans="1:5" x14ac:dyDescent="0.25">
      <c r="A79" s="7"/>
      <c r="B79" s="10" t="s">
        <v>17</v>
      </c>
      <c r="C79" s="11" t="s">
        <v>79</v>
      </c>
      <c r="D79" s="10">
        <v>2</v>
      </c>
      <c r="E79" s="10" t="str">
        <f>Input!F245</f>
        <v>2</v>
      </c>
    </row>
    <row r="80" spans="1:5" x14ac:dyDescent="0.25">
      <c r="A80" s="20"/>
      <c r="B80" s="21"/>
      <c r="C80" s="19"/>
      <c r="D80" s="10"/>
      <c r="E80" s="10"/>
    </row>
    <row r="81" spans="1:6" ht="33.6" customHeight="1" x14ac:dyDescent="0.25">
      <c r="A81" s="28" t="s">
        <v>80</v>
      </c>
      <c r="B81" s="127" t="s">
        <v>81</v>
      </c>
      <c r="C81" s="127"/>
      <c r="D81" s="29">
        <f>D82+D83</f>
        <v>4</v>
      </c>
      <c r="E81" s="114" t="s">
        <v>445</v>
      </c>
    </row>
    <row r="82" spans="1:6" ht="30" x14ac:dyDescent="0.25">
      <c r="A82" s="9"/>
      <c r="B82" s="10" t="s">
        <v>5</v>
      </c>
      <c r="C82" s="13" t="s">
        <v>391</v>
      </c>
      <c r="D82" s="10">
        <v>2</v>
      </c>
      <c r="E82" s="10" t="str">
        <f>Input!F250</f>
        <v>2</v>
      </c>
    </row>
    <row r="83" spans="1:6" ht="30" x14ac:dyDescent="0.25">
      <c r="A83" s="9"/>
      <c r="B83" s="10" t="s">
        <v>17</v>
      </c>
      <c r="C83" s="13" t="s">
        <v>82</v>
      </c>
      <c r="D83" s="10">
        <v>2</v>
      </c>
      <c r="E83" s="10" t="str">
        <f>Input!F254</f>
        <v>2</v>
      </c>
    </row>
    <row r="84" spans="1:6" x14ac:dyDescent="0.25">
      <c r="A84" s="17"/>
      <c r="B84" s="21"/>
      <c r="C84" s="59"/>
      <c r="D84" s="10"/>
      <c r="E84" s="10"/>
    </row>
    <row r="85" spans="1:6" x14ac:dyDescent="0.25">
      <c r="A85" s="17"/>
      <c r="B85" s="21"/>
      <c r="C85" s="59"/>
      <c r="D85" s="10"/>
      <c r="E85" s="10"/>
    </row>
    <row r="86" spans="1:6" x14ac:dyDescent="0.25">
      <c r="A86" s="123"/>
      <c r="B86" s="124"/>
      <c r="C86" s="125"/>
      <c r="D86" s="24">
        <f>D2+D13+D39+D64</f>
        <v>100</v>
      </c>
      <c r="E86" s="24">
        <f>E2+E13+E39+E64</f>
        <v>0</v>
      </c>
    </row>
    <row r="87" spans="1:6" s="4" customFormat="1" x14ac:dyDescent="0.25">
      <c r="A87"/>
      <c r="B87"/>
      <c r="C87" s="65"/>
      <c r="D87" s="3"/>
      <c r="E87" s="85"/>
    </row>
    <row r="88" spans="1:6" s="4" customFormat="1" ht="30" customHeight="1" x14ac:dyDescent="0.25">
      <c r="A88" s="30" t="s">
        <v>115</v>
      </c>
      <c r="B88"/>
      <c r="C88" s="93"/>
      <c r="D88" s="3"/>
      <c r="E88" s="3"/>
      <c r="F88" s="85"/>
    </row>
    <row r="89" spans="1:6" ht="31.5" x14ac:dyDescent="0.25">
      <c r="A89" s="31" t="s">
        <v>83</v>
      </c>
      <c r="B89" s="117" t="s">
        <v>116</v>
      </c>
      <c r="C89" s="118"/>
      <c r="D89" s="31" t="s">
        <v>117</v>
      </c>
      <c r="E89" s="111" t="s">
        <v>397</v>
      </c>
    </row>
    <row r="90" spans="1:6" ht="15.75" x14ac:dyDescent="0.25">
      <c r="A90" s="31">
        <v>1</v>
      </c>
      <c r="B90" s="119" t="s">
        <v>118</v>
      </c>
      <c r="C90" s="120"/>
      <c r="D90" s="31">
        <v>20</v>
      </c>
      <c r="E90" s="31">
        <f>E2</f>
        <v>0</v>
      </c>
    </row>
    <row r="91" spans="1:6" ht="15.75" x14ac:dyDescent="0.25">
      <c r="A91" s="31">
        <v>2</v>
      </c>
      <c r="B91" s="119" t="s">
        <v>119</v>
      </c>
      <c r="C91" s="120"/>
      <c r="D91" s="31">
        <v>30</v>
      </c>
      <c r="E91" s="89">
        <f>E13</f>
        <v>0</v>
      </c>
    </row>
    <row r="92" spans="1:6" ht="15.75" x14ac:dyDescent="0.25">
      <c r="A92" s="31">
        <v>3</v>
      </c>
      <c r="B92" s="119" t="s">
        <v>120</v>
      </c>
      <c r="C92" s="120"/>
      <c r="D92" s="31">
        <v>30</v>
      </c>
      <c r="E92" s="31">
        <f>E39</f>
        <v>0</v>
      </c>
    </row>
    <row r="93" spans="1:6" ht="15.75" x14ac:dyDescent="0.25">
      <c r="A93" s="31">
        <v>4</v>
      </c>
      <c r="B93" s="121" t="s">
        <v>121</v>
      </c>
      <c r="C93" s="122"/>
      <c r="D93" s="31">
        <v>20</v>
      </c>
      <c r="E93" s="31">
        <f>E64</f>
        <v>0</v>
      </c>
    </row>
    <row r="94" spans="1:6" ht="15.75" x14ac:dyDescent="0.25">
      <c r="A94" s="11"/>
      <c r="B94" s="115" t="s">
        <v>122</v>
      </c>
      <c r="C94" s="116"/>
      <c r="D94" s="32">
        <f>SUM(D90:D93)</f>
        <v>100</v>
      </c>
      <c r="E94" s="112">
        <f>SUM(E90:E93)</f>
        <v>0</v>
      </c>
    </row>
    <row r="95" spans="1:6" s="4" customFormat="1" ht="29.45" customHeight="1" x14ac:dyDescent="0.25">
      <c r="A95" s="11"/>
      <c r="B95" s="33" t="s">
        <v>123</v>
      </c>
      <c r="C95" s="91"/>
      <c r="D95" s="10"/>
      <c r="E95" s="32" t="str">
        <f>IFERROR(IF(E94&lt;60,"C (Kurang)",IF(E94&lt;70,"B (Cukup)",IF(E94&lt;80,"BB (Baik)",IF(E94&lt;90,"A (Sangat Baik)",IF(E94&gt;=90,"AA (Memuaskan)"))))),0)</f>
        <v>C (Kurang)</v>
      </c>
    </row>
    <row r="96" spans="1:6" ht="15.75" x14ac:dyDescent="0.25">
      <c r="C96" s="92"/>
    </row>
    <row r="99" spans="1:5" s="4" customFormat="1" x14ac:dyDescent="0.25">
      <c r="A99"/>
      <c r="B99"/>
      <c r="C99"/>
      <c r="D99"/>
      <c r="E99" s="85"/>
    </row>
    <row r="103" spans="1:5" s="4" customFormat="1" ht="30" customHeight="1" x14ac:dyDescent="0.25">
      <c r="A103"/>
      <c r="B103"/>
      <c r="C103"/>
      <c r="D103"/>
      <c r="E103" s="85"/>
    </row>
    <row r="106" spans="1:5" ht="24.6" customHeight="1" x14ac:dyDescent="0.25"/>
    <row r="109" spans="1:5" ht="19.899999999999999" customHeight="1" x14ac:dyDescent="0.25"/>
    <row r="110" spans="1:5" ht="19.899999999999999" customHeight="1" x14ac:dyDescent="0.25"/>
    <row r="111" spans="1:5" ht="19.899999999999999" customHeight="1" x14ac:dyDescent="0.25"/>
    <row r="112" spans="1:5" ht="19.899999999999999" customHeight="1" x14ac:dyDescent="0.25"/>
    <row r="113" ht="19.899999999999999" customHeight="1" x14ac:dyDescent="0.25"/>
    <row r="114" ht="19.899999999999999" customHeight="1" x14ac:dyDescent="0.25"/>
    <row r="115" ht="19.899999999999999" customHeight="1" x14ac:dyDescent="0.25"/>
  </sheetData>
  <mergeCells count="26">
    <mergeCell ref="B52:C52"/>
    <mergeCell ref="B57:C57"/>
    <mergeCell ref="B1:C1"/>
    <mergeCell ref="B15:C15"/>
    <mergeCell ref="B20:C20"/>
    <mergeCell ref="B39:C39"/>
    <mergeCell ref="B40:C40"/>
    <mergeCell ref="B41:C41"/>
    <mergeCell ref="B2:C2"/>
    <mergeCell ref="B3:C3"/>
    <mergeCell ref="B4:C4"/>
    <mergeCell ref="B13:C13"/>
    <mergeCell ref="B14:C14"/>
    <mergeCell ref="A86:C86"/>
    <mergeCell ref="B64:C64"/>
    <mergeCell ref="B66:C66"/>
    <mergeCell ref="B73:C73"/>
    <mergeCell ref="B77:C77"/>
    <mergeCell ref="B81:C81"/>
    <mergeCell ref="B65:C65"/>
    <mergeCell ref="B94:C94"/>
    <mergeCell ref="B89:C89"/>
    <mergeCell ref="B90:C90"/>
    <mergeCell ref="B91:C91"/>
    <mergeCell ref="B92:C92"/>
    <mergeCell ref="B93:C93"/>
  </mergeCells>
  <pageMargins left="0.51181102362204722" right="0.31496062992125984" top="0.15748031496062992" bottom="0.15748031496062992" header="0.31496062992125984" footer="0.31496062992125984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81"/>
  <sheetViews>
    <sheetView topLeftCell="A225" zoomScaleNormal="100" workbookViewId="0">
      <selection activeCell="F238" sqref="F238"/>
    </sheetView>
  </sheetViews>
  <sheetFormatPr defaultRowHeight="15" x14ac:dyDescent="0.25"/>
  <cols>
    <col min="1" max="1" width="7.5703125" customWidth="1"/>
    <col min="2" max="3" width="3.42578125" customWidth="1"/>
    <col min="4" max="4" width="42.7109375" customWidth="1"/>
    <col min="6" max="6" width="12.7109375" style="3" customWidth="1"/>
  </cols>
  <sheetData>
    <row r="1" spans="1:6" s="3" customFormat="1" ht="30" x14ac:dyDescent="0.25">
      <c r="A1" s="5" t="s">
        <v>83</v>
      </c>
      <c r="B1" s="130" t="s">
        <v>84</v>
      </c>
      <c r="C1" s="130"/>
      <c r="D1" s="130"/>
      <c r="F1" s="99" t="s">
        <v>397</v>
      </c>
    </row>
    <row r="2" spans="1:6" ht="36.6" customHeight="1" x14ac:dyDescent="0.25">
      <c r="A2" s="7">
        <v>1</v>
      </c>
      <c r="B2" s="127" t="s">
        <v>0</v>
      </c>
      <c r="C2" s="127"/>
      <c r="D2" s="127"/>
      <c r="F2" s="10"/>
    </row>
    <row r="3" spans="1:6" x14ac:dyDescent="0.25">
      <c r="A3" s="7" t="s">
        <v>1</v>
      </c>
      <c r="B3" s="126" t="s">
        <v>2</v>
      </c>
      <c r="C3" s="126"/>
      <c r="D3" s="126"/>
      <c r="F3" s="10"/>
    </row>
    <row r="4" spans="1:6" x14ac:dyDescent="0.25">
      <c r="A4" s="7" t="s">
        <v>3</v>
      </c>
      <c r="B4" s="126" t="s">
        <v>4</v>
      </c>
      <c r="C4" s="126"/>
      <c r="D4" s="126"/>
      <c r="F4" s="10"/>
    </row>
    <row r="5" spans="1:6" x14ac:dyDescent="0.25">
      <c r="A5" s="104" t="s">
        <v>402</v>
      </c>
      <c r="B5" s="44" t="s">
        <v>291</v>
      </c>
      <c r="C5" s="51"/>
      <c r="D5" s="52"/>
      <c r="F5" s="103">
        <f>F6+F8+F10+F12+F14+F16</f>
        <v>3</v>
      </c>
    </row>
    <row r="6" spans="1:6" x14ac:dyDescent="0.25">
      <c r="A6" s="9"/>
      <c r="B6" s="34">
        <v>1</v>
      </c>
      <c r="C6" s="157" t="s">
        <v>124</v>
      </c>
      <c r="D6" s="158"/>
      <c r="E6" t="s">
        <v>350</v>
      </c>
      <c r="F6" s="103" t="str">
        <f>F7</f>
        <v>0,5</v>
      </c>
    </row>
    <row r="7" spans="1:6" ht="50.45" customHeight="1" x14ac:dyDescent="0.25">
      <c r="A7" s="9"/>
      <c r="B7" s="73"/>
      <c r="C7" s="161" t="s">
        <v>125</v>
      </c>
      <c r="D7" s="162"/>
      <c r="F7" s="94" t="str">
        <f>IF($C$7=combo!$B$2,"0,5",IF($C$7=combo!$B$3,"0,4",IF($C$7=combo!$B$4,"0,2",IF($C$7=combo!$B$5,"0"))))</f>
        <v>0,5</v>
      </c>
    </row>
    <row r="8" spans="1:6" x14ac:dyDescent="0.25">
      <c r="A8" s="9"/>
      <c r="B8" s="34">
        <v>2</v>
      </c>
      <c r="C8" s="157" t="s">
        <v>129</v>
      </c>
      <c r="D8" s="158"/>
      <c r="E8" t="s">
        <v>350</v>
      </c>
      <c r="F8" s="103" t="str">
        <f>F9</f>
        <v>0,5</v>
      </c>
    </row>
    <row r="9" spans="1:6" ht="23.45" customHeight="1" x14ac:dyDescent="0.25">
      <c r="A9" s="9"/>
      <c r="B9" s="73"/>
      <c r="C9" s="163" t="s">
        <v>130</v>
      </c>
      <c r="D9" s="164"/>
      <c r="F9" s="94" t="str">
        <f>IF(C9=combo!B7,"0,5",IF(C9=combo!B8,"0,4",IF(C9=combo!B9,"0,2",IF(C9=combo!B10,"0"))))</f>
        <v>0,5</v>
      </c>
    </row>
    <row r="10" spans="1:6" s="4" customFormat="1" x14ac:dyDescent="0.25">
      <c r="A10" s="23"/>
      <c r="B10" s="34">
        <v>3</v>
      </c>
      <c r="C10" s="157" t="s">
        <v>134</v>
      </c>
      <c r="D10" s="158"/>
      <c r="E10" s="4" t="s">
        <v>350</v>
      </c>
      <c r="F10" s="103" t="str">
        <f>F11</f>
        <v>0,5</v>
      </c>
    </row>
    <row r="11" spans="1:6" s="4" customFormat="1" ht="21" customHeight="1" x14ac:dyDescent="0.25">
      <c r="A11" s="23"/>
      <c r="B11" s="76"/>
      <c r="C11" s="163" t="s">
        <v>135</v>
      </c>
      <c r="D11" s="164"/>
      <c r="F11" s="94" t="str">
        <f>IF(C11=combo!B12,"0,5",IF(C11=combo!B13,"0,4",IF(C11=combo!B14,"0,2",IF(C11=combo!B15,"0"))))</f>
        <v>0,5</v>
      </c>
    </row>
    <row r="12" spans="1:6" s="4" customFormat="1" x14ac:dyDescent="0.25">
      <c r="A12" s="23"/>
      <c r="B12" s="34">
        <v>4</v>
      </c>
      <c r="C12" s="165" t="s">
        <v>138</v>
      </c>
      <c r="D12" s="166"/>
      <c r="E12" s="4" t="s">
        <v>350</v>
      </c>
      <c r="F12" s="103" t="str">
        <f>F13</f>
        <v>0,5</v>
      </c>
    </row>
    <row r="13" spans="1:6" ht="21" customHeight="1" x14ac:dyDescent="0.25">
      <c r="A13" s="9"/>
      <c r="B13" s="73"/>
      <c r="C13" s="167" t="s">
        <v>139</v>
      </c>
      <c r="D13" s="168"/>
      <c r="F13" s="94" t="str">
        <f>IF(C13=combo!B17,"0,5",IF(C13=combo!B18,"0,4",IF(C13=combo!B19,"0,2",IF(C13=combo!B20,"0"))))</f>
        <v>0,5</v>
      </c>
    </row>
    <row r="14" spans="1:6" s="4" customFormat="1" x14ac:dyDescent="0.25">
      <c r="A14" s="23"/>
      <c r="B14" s="34">
        <v>5</v>
      </c>
      <c r="C14" s="157" t="s">
        <v>143</v>
      </c>
      <c r="D14" s="158"/>
      <c r="E14" s="4" t="s">
        <v>350</v>
      </c>
      <c r="F14" s="103" t="str">
        <f>F15</f>
        <v>0,5</v>
      </c>
    </row>
    <row r="15" spans="1:6" s="4" customFormat="1" ht="21" customHeight="1" x14ac:dyDescent="0.25">
      <c r="A15" s="23"/>
      <c r="B15" s="76"/>
      <c r="C15" s="167" t="s">
        <v>144</v>
      </c>
      <c r="D15" s="168"/>
      <c r="F15" s="94" t="str">
        <f>IF(C15=combo!B22,"0,5",IF(C15=combo!B23,"0,4",IF(C15=combo!B24,"0,2",IF(C15=combo!B25,"0"))))</f>
        <v>0,5</v>
      </c>
    </row>
    <row r="16" spans="1:6" s="4" customFormat="1" ht="10.5" customHeight="1" x14ac:dyDescent="0.25">
      <c r="A16" s="23"/>
      <c r="B16" s="34">
        <v>6</v>
      </c>
      <c r="C16" s="165" t="s">
        <v>147</v>
      </c>
      <c r="D16" s="166"/>
      <c r="E16" s="4" t="s">
        <v>350</v>
      </c>
      <c r="F16" s="103" t="str">
        <f>F17</f>
        <v>0,5</v>
      </c>
    </row>
    <row r="17" spans="1:6" ht="36" customHeight="1" x14ac:dyDescent="0.25">
      <c r="A17" s="9"/>
      <c r="B17" s="73"/>
      <c r="C17" s="161" t="s">
        <v>148</v>
      </c>
      <c r="D17" s="162"/>
      <c r="F17" s="94" t="str">
        <f>IF(C17=combo!B27,"0,5",IF(C17=combo!B28,"0,4",IF(C17=combo!B29,"0,2",IF(C17=combo!B30,"0"))))</f>
        <v>0,5</v>
      </c>
    </row>
    <row r="18" spans="1:6" x14ac:dyDescent="0.25">
      <c r="A18" s="104" t="s">
        <v>403</v>
      </c>
      <c r="B18" s="44" t="s">
        <v>292</v>
      </c>
      <c r="C18" s="45"/>
      <c r="D18" s="46"/>
      <c r="F18" s="103">
        <f>F19+F21+F23</f>
        <v>3</v>
      </c>
    </row>
    <row r="19" spans="1:6" s="4" customFormat="1" x14ac:dyDescent="0.25">
      <c r="A19" s="23"/>
      <c r="B19" s="34">
        <v>1</v>
      </c>
      <c r="C19" s="157" t="s">
        <v>152</v>
      </c>
      <c r="D19" s="158"/>
      <c r="E19" s="4" t="s">
        <v>350</v>
      </c>
      <c r="F19" s="103" t="str">
        <f>F20</f>
        <v>1</v>
      </c>
    </row>
    <row r="20" spans="1:6" ht="22.15" customHeight="1" x14ac:dyDescent="0.25">
      <c r="A20" s="9"/>
      <c r="B20" s="73"/>
      <c r="C20" s="167" t="s">
        <v>153</v>
      </c>
      <c r="D20" s="168"/>
      <c r="F20" s="94" t="str">
        <f>IF(C20=combo!B33,"1",IF(C20=combo!B34,"0"))</f>
        <v>1</v>
      </c>
    </row>
    <row r="21" spans="1:6" s="4" customFormat="1" x14ac:dyDescent="0.25">
      <c r="A21" s="23"/>
      <c r="B21" s="34">
        <v>2</v>
      </c>
      <c r="C21" s="157" t="s">
        <v>155</v>
      </c>
      <c r="D21" s="158"/>
      <c r="E21" s="4" t="s">
        <v>350</v>
      </c>
      <c r="F21" s="103" t="str">
        <f>F22</f>
        <v>1</v>
      </c>
    </row>
    <row r="22" spans="1:6" ht="28.9" customHeight="1" x14ac:dyDescent="0.25">
      <c r="A22" s="9"/>
      <c r="B22" s="73"/>
      <c r="C22" s="167" t="s">
        <v>156</v>
      </c>
      <c r="D22" s="168"/>
      <c r="F22" s="94" t="str">
        <f>IF(C22=combo!B36,"1",IF(C22=combo!B37,"0"))</f>
        <v>1</v>
      </c>
    </row>
    <row r="23" spans="1:6" ht="14.45" customHeight="1" x14ac:dyDescent="0.25">
      <c r="A23" s="9"/>
      <c r="B23" s="34">
        <v>3</v>
      </c>
      <c r="C23" s="157" t="s">
        <v>158</v>
      </c>
      <c r="D23" s="158"/>
      <c r="E23" t="s">
        <v>350</v>
      </c>
      <c r="F23" s="103" t="str">
        <f>F24</f>
        <v>1</v>
      </c>
    </row>
    <row r="24" spans="1:6" ht="19.899999999999999" customHeight="1" x14ac:dyDescent="0.25">
      <c r="A24" s="9"/>
      <c r="B24" s="73"/>
      <c r="C24" s="167" t="s">
        <v>159</v>
      </c>
      <c r="D24" s="168"/>
      <c r="F24" s="94" t="str">
        <f>IF(C24=combo!B39,"1",IF(C24=combo!B40,"0,8",IF(C24=combo!B41,"0,4",IF(C24=combo!B42,"0"))))</f>
        <v>1</v>
      </c>
    </row>
    <row r="25" spans="1:6" ht="15" customHeight="1" x14ac:dyDescent="0.25">
      <c r="A25" s="105" t="s">
        <v>404</v>
      </c>
      <c r="B25" s="44" t="s">
        <v>293</v>
      </c>
      <c r="C25" s="44"/>
      <c r="D25" s="44"/>
      <c r="F25" s="10">
        <f>F26+F29+F32</f>
        <v>3</v>
      </c>
    </row>
    <row r="26" spans="1:6" ht="14.45" customHeight="1" x14ac:dyDescent="0.25">
      <c r="A26" s="9"/>
      <c r="B26" s="34">
        <v>1</v>
      </c>
      <c r="C26" s="157" t="s">
        <v>163</v>
      </c>
      <c r="D26" s="158"/>
      <c r="E26" t="s">
        <v>351</v>
      </c>
      <c r="F26" s="95" t="str">
        <f>IFERROR(IF(F27/F28&lt;0.1,"0",IF(F27/F28&lt;0.5,"0,4",IF(F27/F28&lt;=0.99,"0,8",IF(F27/F28=1,"1",IF(F27/F28&gt;1,"Nilai Salah"))))),0)</f>
        <v>1</v>
      </c>
    </row>
    <row r="27" spans="1:6" x14ac:dyDescent="0.25">
      <c r="A27" s="9"/>
      <c r="B27" s="10"/>
      <c r="C27" s="171" t="s">
        <v>164</v>
      </c>
      <c r="D27" s="172"/>
      <c r="F27" s="10">
        <v>18</v>
      </c>
    </row>
    <row r="28" spans="1:6" x14ac:dyDescent="0.25">
      <c r="A28" s="9"/>
      <c r="B28" s="10"/>
      <c r="C28" s="171" t="s">
        <v>165</v>
      </c>
      <c r="D28" s="172"/>
      <c r="F28" s="10">
        <v>18</v>
      </c>
    </row>
    <row r="29" spans="1:6" s="4" customFormat="1" x14ac:dyDescent="0.25">
      <c r="A29" s="23"/>
      <c r="B29" s="34">
        <v>2</v>
      </c>
      <c r="C29" s="157" t="s">
        <v>166</v>
      </c>
      <c r="D29" s="158"/>
      <c r="E29" s="4" t="s">
        <v>351</v>
      </c>
      <c r="F29" s="95" t="str">
        <f>IFERROR(IF(F30/F31&lt;0.1,"0",IF(F30/F31&lt;0.5,"0,4",IF(F30/F31&lt;=0.99,"0,8",IF(F30/F31=1,"1",IF(F30/F31&gt;1,"Nilai Salah"))))),0)</f>
        <v>1</v>
      </c>
    </row>
    <row r="30" spans="1:6" s="4" customFormat="1" ht="31.15" customHeight="1" x14ac:dyDescent="0.25">
      <c r="A30" s="23"/>
      <c r="B30" s="22"/>
      <c r="C30" s="171" t="s">
        <v>167</v>
      </c>
      <c r="D30" s="172"/>
      <c r="F30" s="22">
        <v>1</v>
      </c>
    </row>
    <row r="31" spans="1:6" s="4" customFormat="1" x14ac:dyDescent="0.25">
      <c r="A31" s="23"/>
      <c r="B31" s="22"/>
      <c r="C31" s="155" t="s">
        <v>168</v>
      </c>
      <c r="D31" s="156"/>
      <c r="F31" s="22">
        <v>1</v>
      </c>
    </row>
    <row r="32" spans="1:6" s="4" customFormat="1" x14ac:dyDescent="0.25">
      <c r="A32" s="23"/>
      <c r="B32" s="34">
        <v>3</v>
      </c>
      <c r="C32" s="157" t="s">
        <v>169</v>
      </c>
      <c r="D32" s="158"/>
      <c r="E32" s="4" t="s">
        <v>351</v>
      </c>
      <c r="F32" s="95" t="str">
        <f>IFERROR(IF(F33/F34&lt;0.1,"0",IF(F33/F34&lt;0.5,"0,4",IF(F33/F34&lt;1,"0,8",IF(F33/F34=1,"1",IF(F33/F34&gt;1,"Nilai Salah"))))),0)</f>
        <v>1</v>
      </c>
    </row>
    <row r="33" spans="1:6" s="4" customFormat="1" x14ac:dyDescent="0.25">
      <c r="A33" s="23"/>
      <c r="B33" s="25"/>
      <c r="C33" s="175" t="s">
        <v>170</v>
      </c>
      <c r="D33" s="176"/>
      <c r="F33" s="22">
        <v>5</v>
      </c>
    </row>
    <row r="34" spans="1:6" s="27" customFormat="1" ht="25.9" customHeight="1" x14ac:dyDescent="0.25">
      <c r="A34" s="26"/>
      <c r="B34" s="22"/>
      <c r="C34" s="171" t="s">
        <v>171</v>
      </c>
      <c r="D34" s="172"/>
      <c r="F34" s="22">
        <v>5</v>
      </c>
    </row>
    <row r="35" spans="1:6" s="27" customFormat="1" ht="18.600000000000001" customHeight="1" x14ac:dyDescent="0.25">
      <c r="A35" s="105" t="s">
        <v>405</v>
      </c>
      <c r="B35" s="44" t="s">
        <v>294</v>
      </c>
      <c r="C35" s="44"/>
      <c r="D35" s="44"/>
      <c r="F35" s="103">
        <f>F36+F38+F40</f>
        <v>3</v>
      </c>
    </row>
    <row r="36" spans="1:6" s="27" customFormat="1" x14ac:dyDescent="0.25">
      <c r="A36" s="23"/>
      <c r="B36" s="34">
        <v>1</v>
      </c>
      <c r="C36" s="157" t="s">
        <v>172</v>
      </c>
      <c r="D36" s="158"/>
      <c r="E36" s="27" t="s">
        <v>350</v>
      </c>
      <c r="F36" s="22" t="str">
        <f>F37</f>
        <v>1</v>
      </c>
    </row>
    <row r="37" spans="1:6" s="27" customFormat="1" ht="51.6" customHeight="1" x14ac:dyDescent="0.25">
      <c r="A37" s="26"/>
      <c r="B37" s="78"/>
      <c r="C37" s="167" t="s">
        <v>173</v>
      </c>
      <c r="D37" s="168"/>
      <c r="F37" s="94" t="str">
        <f>IF(C37=combo!B45,"1",IF(C37=combo!B46,"0,8",IF(C37=combo!B47,"0,5",IF(C37=combo!B48,"0"))))</f>
        <v>1</v>
      </c>
    </row>
    <row r="38" spans="1:6" s="27" customFormat="1" ht="34.9" customHeight="1" x14ac:dyDescent="0.25">
      <c r="A38" s="23"/>
      <c r="B38" s="34">
        <v>2</v>
      </c>
      <c r="C38" s="159" t="s">
        <v>177</v>
      </c>
      <c r="D38" s="160"/>
      <c r="E38" s="87" t="s">
        <v>350</v>
      </c>
      <c r="F38" s="22" t="str">
        <f>F39</f>
        <v>1</v>
      </c>
    </row>
    <row r="39" spans="1:6" s="4" customFormat="1" ht="19.899999999999999" customHeight="1" x14ac:dyDescent="0.25">
      <c r="A39" s="26"/>
      <c r="B39" s="78"/>
      <c r="C39" s="173" t="s">
        <v>178</v>
      </c>
      <c r="D39" s="174"/>
      <c r="F39" s="94" t="str">
        <f>IF(C39=combo!B50,"1",IF(C39=combo!B51,"0,8",IF(C39=combo!B52,"0,5",IF(C39=combo!B53,"0"))))</f>
        <v>1</v>
      </c>
    </row>
    <row r="40" spans="1:6" s="27" customFormat="1" ht="14.45" customHeight="1" x14ac:dyDescent="0.25">
      <c r="A40" s="23"/>
      <c r="B40" s="88">
        <v>3</v>
      </c>
      <c r="C40" s="169" t="s">
        <v>182</v>
      </c>
      <c r="D40" s="170"/>
      <c r="F40" s="22" t="str">
        <f>F41</f>
        <v>1</v>
      </c>
    </row>
    <row r="41" spans="1:6" s="4" customFormat="1" x14ac:dyDescent="0.25">
      <c r="A41" s="26"/>
      <c r="B41" s="78"/>
      <c r="C41" s="131" t="s">
        <v>394</v>
      </c>
      <c r="D41" s="132"/>
      <c r="F41" s="96" t="str">
        <f>IF(C41=combo!B91,"1",IF(C41=combo!B92,"0,8",IF(C41=combo!B93,"0,4",IF(C41=combo!B94,"0"))))</f>
        <v>1</v>
      </c>
    </row>
    <row r="42" spans="1:6" s="4" customFormat="1" x14ac:dyDescent="0.25">
      <c r="A42" s="105" t="s">
        <v>406</v>
      </c>
      <c r="B42" s="44" t="s">
        <v>295</v>
      </c>
      <c r="C42" s="44"/>
      <c r="D42" s="44"/>
      <c r="F42" s="103" t="str">
        <f>F43</f>
        <v>3</v>
      </c>
    </row>
    <row r="43" spans="1:6" s="27" customFormat="1" x14ac:dyDescent="0.25">
      <c r="A43" s="26"/>
      <c r="B43" s="34">
        <v>1</v>
      </c>
      <c r="C43" s="159" t="s">
        <v>183</v>
      </c>
      <c r="D43" s="160"/>
      <c r="E43" s="27" t="s">
        <v>350</v>
      </c>
      <c r="F43" s="22" t="str">
        <f>F44</f>
        <v>3</v>
      </c>
    </row>
    <row r="44" spans="1:6" s="27" customFormat="1" x14ac:dyDescent="0.25">
      <c r="A44" s="23"/>
      <c r="B44" s="76"/>
      <c r="C44" s="131" t="s">
        <v>184</v>
      </c>
      <c r="D44" s="132"/>
      <c r="F44" s="94" t="str">
        <f>IF(C44=combo!B56,"3",IF(C44=combo!B57,"2",IF(C44=combo!B58,"1",IF(C44=combo!B59,"0"))))</f>
        <v>3</v>
      </c>
    </row>
    <row r="45" spans="1:6" s="27" customFormat="1" x14ac:dyDescent="0.25">
      <c r="A45" s="105" t="s">
        <v>407</v>
      </c>
      <c r="B45" s="44" t="s">
        <v>296</v>
      </c>
      <c r="C45" s="44"/>
      <c r="D45" s="44"/>
      <c r="F45" s="22" t="str">
        <f>F46</f>
        <v>2</v>
      </c>
    </row>
    <row r="46" spans="1:6" s="4" customFormat="1" x14ac:dyDescent="0.25">
      <c r="A46" s="26"/>
      <c r="B46" s="34" t="s">
        <v>5</v>
      </c>
      <c r="C46" s="159" t="s">
        <v>188</v>
      </c>
      <c r="D46" s="160"/>
      <c r="E46" s="4" t="s">
        <v>350</v>
      </c>
      <c r="F46" s="103" t="str">
        <f>F47</f>
        <v>2</v>
      </c>
    </row>
    <row r="47" spans="1:6" s="27" customFormat="1" ht="31.15" customHeight="1" x14ac:dyDescent="0.25">
      <c r="A47" s="26"/>
      <c r="B47" s="78"/>
      <c r="C47" s="167" t="s">
        <v>189</v>
      </c>
      <c r="D47" s="168"/>
      <c r="F47" s="94" t="str">
        <f>IF(C47=combo!B62,"2",IF(C47=combo!B63,"1",IF(C47=combo!B64,"0")))</f>
        <v>2</v>
      </c>
    </row>
    <row r="48" spans="1:6" s="4" customFormat="1" ht="19.149999999999999" customHeight="1" x14ac:dyDescent="0.25">
      <c r="A48" s="105" t="s">
        <v>408</v>
      </c>
      <c r="B48" s="44" t="s">
        <v>297</v>
      </c>
      <c r="C48" s="44"/>
      <c r="D48" s="44"/>
      <c r="F48" s="103" t="str">
        <f>F49</f>
        <v>3</v>
      </c>
    </row>
    <row r="49" spans="1:6" s="27" customFormat="1" ht="16.149999999999999" customHeight="1" x14ac:dyDescent="0.25">
      <c r="A49" s="37"/>
      <c r="B49" s="34" t="s">
        <v>5</v>
      </c>
      <c r="C49" s="149" t="s">
        <v>192</v>
      </c>
      <c r="D49" s="149"/>
      <c r="E49" s="27" t="s">
        <v>350</v>
      </c>
      <c r="F49" s="22" t="str">
        <f>F50</f>
        <v>3</v>
      </c>
    </row>
    <row r="50" spans="1:6" s="27" customFormat="1" ht="16.149999999999999" customHeight="1" x14ac:dyDescent="0.25">
      <c r="A50" s="37"/>
      <c r="B50" s="76"/>
      <c r="C50" s="131" t="s">
        <v>193</v>
      </c>
      <c r="D50" s="132"/>
      <c r="F50" s="94" t="str">
        <f>IF(C50=combo!B67,"3",IF(C50=combo!B68,"0"))</f>
        <v>3</v>
      </c>
    </row>
    <row r="51" spans="1:6" s="27" customFormat="1" ht="16.149999999999999" customHeight="1" x14ac:dyDescent="0.25">
      <c r="A51" s="37"/>
      <c r="B51" s="133"/>
      <c r="C51" s="134"/>
      <c r="D51" s="135"/>
      <c r="F51" s="22"/>
    </row>
    <row r="52" spans="1:6" s="27" customFormat="1" ht="28.9" customHeight="1" x14ac:dyDescent="0.25">
      <c r="A52" s="47">
        <v>2</v>
      </c>
      <c r="B52" s="127" t="s">
        <v>47</v>
      </c>
      <c r="C52" s="127"/>
      <c r="D52" s="127"/>
      <c r="F52" s="22"/>
    </row>
    <row r="53" spans="1:6" s="27" customFormat="1" ht="16.149999999999999" customHeight="1" x14ac:dyDescent="0.25">
      <c r="A53" s="47" t="s">
        <v>40</v>
      </c>
      <c r="B53" s="126" t="s">
        <v>2</v>
      </c>
      <c r="C53" s="126"/>
      <c r="D53" s="126"/>
      <c r="F53" s="22"/>
    </row>
    <row r="54" spans="1:6" s="27" customFormat="1" ht="16.149999999999999" customHeight="1" x14ac:dyDescent="0.25">
      <c r="A54" s="47" t="s">
        <v>41</v>
      </c>
      <c r="B54" s="126" t="s">
        <v>320</v>
      </c>
      <c r="C54" s="126"/>
      <c r="D54" s="126"/>
      <c r="F54" s="22"/>
    </row>
    <row r="55" spans="1:6" s="27" customFormat="1" ht="16.149999999999999" customHeight="1" x14ac:dyDescent="0.25">
      <c r="A55" s="106" t="s">
        <v>402</v>
      </c>
      <c r="B55" s="44" t="s">
        <v>299</v>
      </c>
      <c r="C55" s="44"/>
      <c r="D55" s="44"/>
      <c r="F55" s="103" t="str">
        <f>F56</f>
        <v>3</v>
      </c>
    </row>
    <row r="56" spans="1:6" s="27" customFormat="1" ht="16.149999999999999" customHeight="1" x14ac:dyDescent="0.25">
      <c r="A56" s="79"/>
      <c r="B56" s="34">
        <v>1</v>
      </c>
      <c r="C56" s="149" t="s">
        <v>194</v>
      </c>
      <c r="D56" s="149"/>
      <c r="E56" s="27" t="s">
        <v>351</v>
      </c>
      <c r="F56" s="95" t="str">
        <f>IFERROR(IF(F57/F58&lt;0.85,"0",IF(F57/F58&lt;0.9,"0,5",IF(F57/F58&lt;0.95,"1",IF(F57/F58&lt;1,"1,5",IF(F57/F58&lt;1.1,"2",IF(F57/F58&gt;=1.1,"3")))))),0)</f>
        <v>3</v>
      </c>
    </row>
    <row r="57" spans="1:6" s="27" customFormat="1" ht="30" customHeight="1" x14ac:dyDescent="0.25">
      <c r="A57" s="48"/>
      <c r="B57" s="38"/>
      <c r="C57" s="140" t="s">
        <v>353</v>
      </c>
      <c r="D57" s="141"/>
      <c r="E57" s="57" t="s">
        <v>354</v>
      </c>
      <c r="F57" s="102">
        <v>50</v>
      </c>
    </row>
    <row r="58" spans="1:6" s="27" customFormat="1" ht="32.450000000000003" customHeight="1" x14ac:dyDescent="0.25">
      <c r="A58" s="48"/>
      <c r="B58" s="38"/>
      <c r="C58" s="142" t="s">
        <v>352</v>
      </c>
      <c r="D58" s="143"/>
      <c r="E58" s="58"/>
      <c r="F58" s="102">
        <v>10</v>
      </c>
    </row>
    <row r="59" spans="1:6" s="27" customFormat="1" ht="16.149999999999999" customHeight="1" x14ac:dyDescent="0.25">
      <c r="A59" s="106" t="s">
        <v>403</v>
      </c>
      <c r="B59" s="44" t="s">
        <v>300</v>
      </c>
      <c r="C59" s="44"/>
      <c r="D59" s="44"/>
      <c r="F59" s="103">
        <f>F60</f>
        <v>0</v>
      </c>
    </row>
    <row r="60" spans="1:6" s="27" customFormat="1" ht="16.149999999999999" customHeight="1" x14ac:dyDescent="0.25">
      <c r="A60" s="48"/>
      <c r="B60" s="34">
        <v>1</v>
      </c>
      <c r="C60" s="149" t="s">
        <v>195</v>
      </c>
      <c r="D60" s="149"/>
      <c r="E60" s="27" t="s">
        <v>351</v>
      </c>
      <c r="F60" s="110">
        <f>IFERROR(IF(F61/F62&gt;0,),0)</f>
        <v>0</v>
      </c>
    </row>
    <row r="61" spans="1:6" s="27" customFormat="1" ht="31.15" customHeight="1" x14ac:dyDescent="0.25">
      <c r="A61" s="48"/>
      <c r="B61" s="38"/>
      <c r="C61" s="150" t="s">
        <v>357</v>
      </c>
      <c r="D61" s="150"/>
      <c r="E61" s="57" t="s">
        <v>356</v>
      </c>
      <c r="F61" s="22">
        <v>3</v>
      </c>
    </row>
    <row r="62" spans="1:6" s="27" customFormat="1" ht="27.6" customHeight="1" x14ac:dyDescent="0.25">
      <c r="A62" s="48"/>
      <c r="B62" s="36"/>
      <c r="C62" s="138" t="s">
        <v>355</v>
      </c>
      <c r="D62" s="139"/>
      <c r="E62" s="69"/>
      <c r="F62" s="22">
        <v>2</v>
      </c>
    </row>
    <row r="63" spans="1:6" s="27" customFormat="1" ht="20.45" customHeight="1" x14ac:dyDescent="0.25">
      <c r="A63" s="106" t="s">
        <v>404</v>
      </c>
      <c r="B63" s="44" t="s">
        <v>301</v>
      </c>
      <c r="C63" s="44"/>
      <c r="D63" s="44"/>
      <c r="F63" s="103" t="str">
        <f>F64</f>
        <v>3</v>
      </c>
    </row>
    <row r="64" spans="1:6" s="27" customFormat="1" ht="30" customHeight="1" x14ac:dyDescent="0.25">
      <c r="A64" s="48"/>
      <c r="B64" s="34">
        <v>1</v>
      </c>
      <c r="C64" s="149" t="s">
        <v>196</v>
      </c>
      <c r="D64" s="149"/>
      <c r="E64" s="27" t="s">
        <v>351</v>
      </c>
      <c r="F64" s="95" t="str">
        <f>IFERROR(IF(F65/F66&lt;0.85,"0",IF(F65/F66&lt;0.9,"0,5",IF(F65/F66&lt;0.95,"1",IF(F65/F66&lt;1,"1,5",IF(F65/F66&lt;1.1,"2",IF(F65/F66&gt;=1.1,"3")))))),0)</f>
        <v>3</v>
      </c>
    </row>
    <row r="65" spans="1:6" s="27" customFormat="1" ht="30" customHeight="1" x14ac:dyDescent="0.25">
      <c r="A65" s="48"/>
      <c r="B65" s="38"/>
      <c r="C65" s="150" t="s">
        <v>358</v>
      </c>
      <c r="D65" s="150"/>
      <c r="E65" s="57" t="s">
        <v>360</v>
      </c>
      <c r="F65" s="97">
        <v>10</v>
      </c>
    </row>
    <row r="66" spans="1:6" s="27" customFormat="1" ht="31.15" customHeight="1" x14ac:dyDescent="0.25">
      <c r="A66" s="48"/>
      <c r="B66" s="38"/>
      <c r="C66" s="150" t="s">
        <v>359</v>
      </c>
      <c r="D66" s="150"/>
      <c r="E66" s="71"/>
      <c r="F66" s="98">
        <v>9</v>
      </c>
    </row>
    <row r="67" spans="1:6" s="27" customFormat="1" ht="16.899999999999999" customHeight="1" x14ac:dyDescent="0.25">
      <c r="A67" s="47" t="s">
        <v>62</v>
      </c>
      <c r="B67" s="126" t="s">
        <v>302</v>
      </c>
      <c r="C67" s="126"/>
      <c r="D67" s="126"/>
      <c r="F67" s="22"/>
    </row>
    <row r="68" spans="1:6" s="27" customFormat="1" ht="16.899999999999999" customHeight="1" x14ac:dyDescent="0.25">
      <c r="A68" s="107" t="s">
        <v>402</v>
      </c>
      <c r="B68" s="44" t="s">
        <v>303</v>
      </c>
      <c r="C68" s="44"/>
      <c r="D68" s="44"/>
      <c r="F68" s="22" t="str">
        <f>F69</f>
        <v>2</v>
      </c>
    </row>
    <row r="69" spans="1:6" s="27" customFormat="1" ht="16.899999999999999" customHeight="1" x14ac:dyDescent="0.25">
      <c r="A69" s="48"/>
      <c r="B69" s="34">
        <v>1</v>
      </c>
      <c r="C69" s="149" t="s">
        <v>197</v>
      </c>
      <c r="D69" s="149"/>
      <c r="E69" s="27" t="s">
        <v>351</v>
      </c>
      <c r="F69" s="95" t="str">
        <f>IFERROR(IF(F70/F71&lt;0.1,"0",IF(F70/F71&lt;0.5,"0,5",IF(F70/F71&lt;0.75,"1",IF(F70/F71&lt;=0.99,"1,5",IF(F70/F71=1,"2"))))),0)</f>
        <v>2</v>
      </c>
    </row>
    <row r="70" spans="1:6" s="27" customFormat="1" ht="18.600000000000001" customHeight="1" x14ac:dyDescent="0.25">
      <c r="A70" s="48"/>
      <c r="B70" s="38"/>
      <c r="C70" s="35" t="s">
        <v>361</v>
      </c>
      <c r="D70" s="39"/>
      <c r="F70" s="22">
        <v>20</v>
      </c>
    </row>
    <row r="71" spans="1:6" s="27" customFormat="1" ht="16.149999999999999" customHeight="1" x14ac:dyDescent="0.25">
      <c r="A71" s="48"/>
      <c r="B71" s="38"/>
      <c r="C71" s="35" t="s">
        <v>198</v>
      </c>
      <c r="D71" s="39"/>
      <c r="F71" s="22">
        <v>20</v>
      </c>
    </row>
    <row r="72" spans="1:6" s="27" customFormat="1" ht="25.15" customHeight="1" x14ac:dyDescent="0.25">
      <c r="A72" s="107" t="s">
        <v>403</v>
      </c>
      <c r="B72" s="151" t="s">
        <v>304</v>
      </c>
      <c r="C72" s="152"/>
      <c r="D72" s="153"/>
      <c r="F72" s="22">
        <f>F73+F76</f>
        <v>2</v>
      </c>
    </row>
    <row r="73" spans="1:6" s="27" customFormat="1" ht="16.149999999999999" customHeight="1" x14ac:dyDescent="0.25">
      <c r="A73" s="48"/>
      <c r="B73" s="34">
        <v>1</v>
      </c>
      <c r="C73" s="149" t="s">
        <v>199</v>
      </c>
      <c r="D73" s="149"/>
      <c r="E73" s="27" t="s">
        <v>351</v>
      </c>
      <c r="F73" s="95" t="str">
        <f>IFERROR(IF(F74/F75&lt;0.1,"0",IF(F74/F75&lt;0.5,"0,4",IF(F74/F75&lt;0.75,"0,6",IF(F74/F75&lt;=0.99,"0,8",IF(F74/F75=1,"1"))))),0)</f>
        <v>1</v>
      </c>
    </row>
    <row r="74" spans="1:6" s="27" customFormat="1" ht="28.9" customHeight="1" x14ac:dyDescent="0.25">
      <c r="A74" s="49"/>
      <c r="B74" s="38"/>
      <c r="C74" s="150" t="s">
        <v>200</v>
      </c>
      <c r="D74" s="150"/>
      <c r="F74" s="22">
        <v>120</v>
      </c>
    </row>
    <row r="75" spans="1:6" s="27" customFormat="1" ht="20.25" customHeight="1" x14ac:dyDescent="0.25">
      <c r="A75" s="49"/>
      <c r="B75" s="38"/>
      <c r="C75" s="150" t="s">
        <v>201</v>
      </c>
      <c r="D75" s="150"/>
      <c r="F75" s="22">
        <v>120</v>
      </c>
    </row>
    <row r="76" spans="1:6" s="27" customFormat="1" ht="14.45" customHeight="1" x14ac:dyDescent="0.25">
      <c r="A76" s="49"/>
      <c r="B76" s="34">
        <v>2</v>
      </c>
      <c r="C76" s="149" t="s">
        <v>202</v>
      </c>
      <c r="D76" s="149"/>
      <c r="E76" s="27" t="s">
        <v>351</v>
      </c>
      <c r="F76" s="96" t="str">
        <f>IFERROR(IF((F77/F78)*100000=0,"1",IF((F77/F78)*100000&gt;0,"0")),0)</f>
        <v>1</v>
      </c>
    </row>
    <row r="77" spans="1:6" s="27" customFormat="1" ht="30.6" customHeight="1" x14ac:dyDescent="0.25">
      <c r="A77" s="49"/>
      <c r="B77" s="38"/>
      <c r="C77" s="150" t="s">
        <v>398</v>
      </c>
      <c r="D77" s="150"/>
      <c r="F77" s="22">
        <v>0</v>
      </c>
    </row>
    <row r="78" spans="1:6" s="27" customFormat="1" ht="21.6" customHeight="1" x14ac:dyDescent="0.25">
      <c r="A78" s="49"/>
      <c r="B78" s="38"/>
      <c r="C78" s="150" t="s">
        <v>203</v>
      </c>
      <c r="D78" s="150"/>
      <c r="F78" s="22">
        <v>10</v>
      </c>
    </row>
    <row r="79" spans="1:6" s="27" customFormat="1" ht="21.6" customHeight="1" x14ac:dyDescent="0.25">
      <c r="A79" s="107" t="s">
        <v>404</v>
      </c>
      <c r="B79" s="151" t="s">
        <v>305</v>
      </c>
      <c r="C79" s="152"/>
      <c r="D79" s="153"/>
      <c r="F79" s="22" t="str">
        <f>F80</f>
        <v>2</v>
      </c>
    </row>
    <row r="80" spans="1:6" s="27" customFormat="1" ht="19.149999999999999" customHeight="1" x14ac:dyDescent="0.25">
      <c r="A80" s="49"/>
      <c r="B80" s="34">
        <v>1</v>
      </c>
      <c r="C80" s="149" t="s">
        <v>204</v>
      </c>
      <c r="D80" s="149"/>
      <c r="E80" s="27" t="s">
        <v>351</v>
      </c>
      <c r="F80" s="95" t="str">
        <f>IFERROR(IF(F81/F82&lt;0.1,"0",IF(F81/F82&lt;0.5,"0,5",IF(F81/F82&lt;0.75,"1",IF(F81/F82&lt;=0.99,"1,5",IF(F81/F82=1,"2"))))),0)</f>
        <v>2</v>
      </c>
    </row>
    <row r="81" spans="1:6" s="27" customFormat="1" ht="31.9" customHeight="1" x14ac:dyDescent="0.25">
      <c r="A81" s="49"/>
      <c r="B81" s="38"/>
      <c r="C81" s="150" t="s">
        <v>205</v>
      </c>
      <c r="D81" s="150"/>
      <c r="F81" s="22">
        <v>8</v>
      </c>
    </row>
    <row r="82" spans="1:6" s="27" customFormat="1" ht="31.15" customHeight="1" x14ac:dyDescent="0.25">
      <c r="A82" s="49"/>
      <c r="B82" s="38"/>
      <c r="C82" s="150" t="s">
        <v>206</v>
      </c>
      <c r="D82" s="150"/>
      <c r="F82" s="22">
        <v>8</v>
      </c>
    </row>
    <row r="83" spans="1:6" s="27" customFormat="1" ht="19.149999999999999" customHeight="1" x14ac:dyDescent="0.25">
      <c r="A83" s="107" t="s">
        <v>405</v>
      </c>
      <c r="B83" s="151" t="s">
        <v>306</v>
      </c>
      <c r="C83" s="152"/>
      <c r="D83" s="153"/>
      <c r="F83" s="22" t="str">
        <f>F84</f>
        <v>2</v>
      </c>
    </row>
    <row r="84" spans="1:6" s="27" customFormat="1" ht="15.6" customHeight="1" x14ac:dyDescent="0.25">
      <c r="A84" s="49"/>
      <c r="B84" s="34">
        <v>1</v>
      </c>
      <c r="C84" s="149" t="s">
        <v>207</v>
      </c>
      <c r="D84" s="149"/>
      <c r="E84" s="27" t="s">
        <v>351</v>
      </c>
      <c r="F84" s="95" t="str">
        <f>IFERROR(IF(F85/F86&lt;0.1,"0",IF(F85/F86&lt;0.5,"0,5",IF(F85/F86&lt;0.75,"1",IF(F85/F86&lt;=0.99,"1,5",IF(F85/F86=1,"2"))))),0)</f>
        <v>2</v>
      </c>
    </row>
    <row r="85" spans="1:6" s="27" customFormat="1" ht="30.6" customHeight="1" x14ac:dyDescent="0.25">
      <c r="A85" s="49"/>
      <c r="B85" s="38"/>
      <c r="C85" s="150" t="s">
        <v>208</v>
      </c>
      <c r="D85" s="150"/>
      <c r="F85" s="22">
        <v>40</v>
      </c>
    </row>
    <row r="86" spans="1:6" s="27" customFormat="1" ht="26.45" customHeight="1" x14ac:dyDescent="0.25">
      <c r="A86" s="49"/>
      <c r="B86" s="38"/>
      <c r="C86" s="150" t="s">
        <v>209</v>
      </c>
      <c r="D86" s="150"/>
      <c r="F86" s="22">
        <v>40</v>
      </c>
    </row>
    <row r="87" spans="1:6" s="27" customFormat="1" ht="18" customHeight="1" x14ac:dyDescent="0.25">
      <c r="A87" s="108" t="s">
        <v>406</v>
      </c>
      <c r="B87" s="151" t="s">
        <v>307</v>
      </c>
      <c r="C87" s="152"/>
      <c r="D87" s="153"/>
      <c r="F87" s="22" t="str">
        <f>F88</f>
        <v>2</v>
      </c>
    </row>
    <row r="88" spans="1:6" s="27" customFormat="1" ht="19.899999999999999" customHeight="1" x14ac:dyDescent="0.25">
      <c r="A88" s="49"/>
      <c r="B88" s="34">
        <v>1</v>
      </c>
      <c r="C88" s="149" t="s">
        <v>210</v>
      </c>
      <c r="D88" s="149"/>
      <c r="E88" s="27" t="s">
        <v>351</v>
      </c>
      <c r="F88" s="95" t="str">
        <f>IFERROR(IF(F89/F90&lt;0.1,"0",IF(F89/F90&lt;0.5,"0,5",IF(F89/F90&lt;0.75,"1",IF(F89/F90&lt;=0.99,"1,5",IF(F89/F90=1,"2"))))),0)</f>
        <v>2</v>
      </c>
    </row>
    <row r="89" spans="1:6" s="27" customFormat="1" ht="30.6" customHeight="1" x14ac:dyDescent="0.25">
      <c r="A89" s="49"/>
      <c r="B89" s="38"/>
      <c r="C89" s="150" t="s">
        <v>362</v>
      </c>
      <c r="D89" s="150"/>
      <c r="F89" s="22">
        <v>100</v>
      </c>
    </row>
    <row r="90" spans="1:6" s="27" customFormat="1" ht="28.15" customHeight="1" x14ac:dyDescent="0.25">
      <c r="A90" s="49"/>
      <c r="B90" s="38"/>
      <c r="C90" s="150" t="s">
        <v>211</v>
      </c>
      <c r="D90" s="150"/>
      <c r="F90" s="22">
        <v>100</v>
      </c>
    </row>
    <row r="91" spans="1:6" s="27" customFormat="1" ht="18" customHeight="1" x14ac:dyDescent="0.25">
      <c r="A91" s="108" t="s">
        <v>407</v>
      </c>
      <c r="B91" s="151" t="s">
        <v>308</v>
      </c>
      <c r="C91" s="152"/>
      <c r="D91" s="153"/>
      <c r="F91" s="22" t="str">
        <f>F92</f>
        <v>2</v>
      </c>
    </row>
    <row r="92" spans="1:6" s="27" customFormat="1" ht="21" customHeight="1" x14ac:dyDescent="0.25">
      <c r="A92" s="49"/>
      <c r="B92" s="34">
        <v>1</v>
      </c>
      <c r="C92" s="149" t="s">
        <v>212</v>
      </c>
      <c r="D92" s="149"/>
      <c r="E92" s="27" t="s">
        <v>351</v>
      </c>
      <c r="F92" s="95" t="str">
        <f>IFERROR(IF(F93/F94&lt;0.1,"0",IF(F93/F94&lt;0.5,"0,5",IF(F93/F94&lt;0.75,"1",IF(F93/F94&lt;=0.99,"1,5",IF(F93/F94=1,"2"))))),0)</f>
        <v>2</v>
      </c>
    </row>
    <row r="93" spans="1:6" s="27" customFormat="1" ht="30.6" customHeight="1" x14ac:dyDescent="0.25">
      <c r="A93" s="49"/>
      <c r="B93" s="38"/>
      <c r="C93" s="150" t="s">
        <v>213</v>
      </c>
      <c r="D93" s="150"/>
      <c r="F93" s="22">
        <v>24</v>
      </c>
    </row>
    <row r="94" spans="1:6" s="27" customFormat="1" ht="30.6" customHeight="1" x14ac:dyDescent="0.25">
      <c r="A94" s="49"/>
      <c r="B94" s="38"/>
      <c r="C94" s="150" t="s">
        <v>214</v>
      </c>
      <c r="D94" s="150"/>
      <c r="F94" s="22">
        <v>24</v>
      </c>
    </row>
    <row r="95" spans="1:6" s="27" customFormat="1" ht="18" customHeight="1" x14ac:dyDescent="0.25">
      <c r="A95" s="108" t="s">
        <v>408</v>
      </c>
      <c r="B95" s="151" t="s">
        <v>309</v>
      </c>
      <c r="C95" s="152"/>
      <c r="D95" s="153"/>
      <c r="F95" s="22" t="str">
        <f>F96</f>
        <v>1,5</v>
      </c>
    </row>
    <row r="96" spans="1:6" s="27" customFormat="1" ht="18.600000000000001" customHeight="1" x14ac:dyDescent="0.25">
      <c r="A96" s="49"/>
      <c r="B96" s="34">
        <v>1</v>
      </c>
      <c r="C96" s="149" t="s">
        <v>215</v>
      </c>
      <c r="D96" s="149"/>
      <c r="E96" s="27" t="s">
        <v>351</v>
      </c>
      <c r="F96" s="95" t="str">
        <f>IFERROR(IF(F97/F98&lt;0.1,"0",IF(F97/F98&lt;0.5,"0,25",IF(F97/F98&lt;0.75,"0,5",IF(F97/F98&lt;=0.99,"1",IF(F97/F98=1,"1,5"))))),0)</f>
        <v>1,5</v>
      </c>
    </row>
    <row r="97" spans="1:6" s="27" customFormat="1" ht="30.6" customHeight="1" x14ac:dyDescent="0.25">
      <c r="A97" s="49"/>
      <c r="B97" s="38"/>
      <c r="C97" s="150" t="s">
        <v>216</v>
      </c>
      <c r="D97" s="150"/>
      <c r="F97" s="22">
        <v>12</v>
      </c>
    </row>
    <row r="98" spans="1:6" s="27" customFormat="1" ht="24.6" customHeight="1" x14ac:dyDescent="0.25">
      <c r="A98" s="49"/>
      <c r="B98" s="38"/>
      <c r="C98" s="150" t="s">
        <v>217</v>
      </c>
      <c r="D98" s="150"/>
      <c r="F98" s="22">
        <v>12</v>
      </c>
    </row>
    <row r="99" spans="1:6" s="27" customFormat="1" ht="19.149999999999999" customHeight="1" x14ac:dyDescent="0.25">
      <c r="A99" s="108" t="s">
        <v>409</v>
      </c>
      <c r="B99" s="151" t="s">
        <v>218</v>
      </c>
      <c r="C99" s="152"/>
      <c r="D99" s="153"/>
      <c r="E99" s="27" t="s">
        <v>350</v>
      </c>
      <c r="F99" s="22" t="str">
        <f>F100</f>
        <v>1,5</v>
      </c>
    </row>
    <row r="100" spans="1:6" s="27" customFormat="1" ht="19.149999999999999" customHeight="1" x14ac:dyDescent="0.25">
      <c r="A100" s="49"/>
      <c r="B100" s="34">
        <v>1</v>
      </c>
      <c r="C100" s="149" t="s">
        <v>218</v>
      </c>
      <c r="D100" s="149"/>
      <c r="F100" s="22" t="str">
        <f>F101</f>
        <v>1,5</v>
      </c>
    </row>
    <row r="101" spans="1:6" s="27" customFormat="1" ht="30" customHeight="1" x14ac:dyDescent="0.25">
      <c r="A101" s="49"/>
      <c r="B101" s="76"/>
      <c r="C101" s="148" t="s">
        <v>392</v>
      </c>
      <c r="D101" s="148"/>
      <c r="F101" s="10" t="str">
        <f>IF(C101=combo!B71,"0",IF(C101=combo!B72,"1",IF(C101=combo!B73,"1,5")))</f>
        <v>1,5</v>
      </c>
    </row>
    <row r="102" spans="1:6" s="27" customFormat="1" ht="17.45" customHeight="1" x14ac:dyDescent="0.25">
      <c r="A102" s="108" t="s">
        <v>410</v>
      </c>
      <c r="B102" s="151" t="s">
        <v>310</v>
      </c>
      <c r="C102" s="152"/>
      <c r="D102" s="153"/>
      <c r="F102" s="22">
        <f>F103+F106+F109</f>
        <v>1.5</v>
      </c>
    </row>
    <row r="103" spans="1:6" s="27" customFormat="1" ht="16.149999999999999" customHeight="1" x14ac:dyDescent="0.25">
      <c r="A103" s="49"/>
      <c r="B103" s="34">
        <v>1</v>
      </c>
      <c r="C103" s="149" t="s">
        <v>220</v>
      </c>
      <c r="D103" s="149"/>
      <c r="E103" s="27" t="s">
        <v>351</v>
      </c>
      <c r="F103" s="95" t="str">
        <f>IFERROR(IF(F104/F105&lt;0.1,"0",IF(F104/F105&lt;0.5,"0,1",IF(F104/F105&lt;0.75,"0,2",IF(F104/F105&lt;=0.99,"0,4",IF(F104/F105=1,"0,5"))))),0)</f>
        <v>0,5</v>
      </c>
    </row>
    <row r="104" spans="1:6" s="27" customFormat="1" ht="27.6" customHeight="1" x14ac:dyDescent="0.25">
      <c r="A104" s="49"/>
      <c r="B104" s="38"/>
      <c r="C104" s="150" t="s">
        <v>221</v>
      </c>
      <c r="D104" s="150"/>
      <c r="F104" s="22">
        <v>22</v>
      </c>
    </row>
    <row r="105" spans="1:6" s="27" customFormat="1" ht="27" customHeight="1" x14ac:dyDescent="0.25">
      <c r="A105" s="49"/>
      <c r="B105" s="38"/>
      <c r="C105" s="150" t="s">
        <v>222</v>
      </c>
      <c r="D105" s="150"/>
      <c r="F105" s="22">
        <v>22</v>
      </c>
    </row>
    <row r="106" spans="1:6" s="27" customFormat="1" ht="19.899999999999999" customHeight="1" x14ac:dyDescent="0.25">
      <c r="A106" s="49"/>
      <c r="B106" s="34">
        <v>2</v>
      </c>
      <c r="C106" s="149" t="s">
        <v>223</v>
      </c>
      <c r="D106" s="149"/>
      <c r="E106" s="27" t="s">
        <v>351</v>
      </c>
      <c r="F106" s="95" t="str">
        <f>IFERROR(IF(F107/F108&lt;0.1,"0,5",IF(F107/F108&lt;0.5,"0,4",IF(F107/F108&lt;0.75,"0,2",IF(F107/F108&lt;=0.99,"0,1",IF(F107/F108=1,"0"))))),0)</f>
        <v>0,5</v>
      </c>
    </row>
    <row r="107" spans="1:6" s="27" customFormat="1" ht="17.45" customHeight="1" x14ac:dyDescent="0.25">
      <c r="A107" s="49"/>
      <c r="B107" s="38"/>
      <c r="C107" s="150" t="s">
        <v>224</v>
      </c>
      <c r="D107" s="150"/>
      <c r="F107" s="22">
        <v>0</v>
      </c>
    </row>
    <row r="108" spans="1:6" s="27" customFormat="1" ht="19.899999999999999" customHeight="1" x14ac:dyDescent="0.25">
      <c r="A108" s="49"/>
      <c r="B108" s="38"/>
      <c r="C108" s="150" t="s">
        <v>225</v>
      </c>
      <c r="D108" s="150"/>
      <c r="F108" s="22">
        <v>1</v>
      </c>
    </row>
    <row r="109" spans="1:6" s="27" customFormat="1" ht="29.25" customHeight="1" x14ac:dyDescent="0.25">
      <c r="A109" s="49"/>
      <c r="B109" s="34">
        <v>3</v>
      </c>
      <c r="C109" s="149" t="s">
        <v>364</v>
      </c>
      <c r="D109" s="149"/>
      <c r="E109" s="27" t="s">
        <v>351</v>
      </c>
      <c r="F109" s="95" t="str">
        <f>IFERROR(IF(F110/F111&lt;0.1,"0,5",IF(F110/F111&lt;0.5,"0,4",IF(F110/F111&lt;0.75,"0,2",IF(F110/F111&lt;=0.99,"0,1",IF(F110/F111=1,"0"))))),0)</f>
        <v>0,5</v>
      </c>
    </row>
    <row r="110" spans="1:6" s="27" customFormat="1" ht="17.45" customHeight="1" x14ac:dyDescent="0.25">
      <c r="A110" s="49"/>
      <c r="B110" s="38"/>
      <c r="C110" s="150" t="s">
        <v>365</v>
      </c>
      <c r="D110" s="150"/>
      <c r="F110" s="22">
        <v>0</v>
      </c>
    </row>
    <row r="111" spans="1:6" s="27" customFormat="1" ht="30.75" customHeight="1" x14ac:dyDescent="0.25">
      <c r="A111" s="49"/>
      <c r="B111" s="38"/>
      <c r="C111" s="150" t="s">
        <v>226</v>
      </c>
      <c r="D111" s="150"/>
      <c r="F111" s="22">
        <v>1</v>
      </c>
    </row>
    <row r="112" spans="1:6" s="27" customFormat="1" ht="18.600000000000001" customHeight="1" x14ac:dyDescent="0.25">
      <c r="A112" s="108" t="s">
        <v>411</v>
      </c>
      <c r="B112" s="151" t="s">
        <v>311</v>
      </c>
      <c r="C112" s="152"/>
      <c r="D112" s="153"/>
      <c r="F112" s="22" t="str">
        <f>F113</f>
        <v>2</v>
      </c>
    </row>
    <row r="113" spans="1:6" s="27" customFormat="1" ht="22.15" customHeight="1" x14ac:dyDescent="0.25">
      <c r="A113" s="49"/>
      <c r="B113" s="34">
        <v>1</v>
      </c>
      <c r="C113" s="149" t="s">
        <v>227</v>
      </c>
      <c r="D113" s="149"/>
      <c r="E113" s="27" t="s">
        <v>351</v>
      </c>
      <c r="F113" s="95" t="str">
        <f>IFERROR(IF(F114/F115&lt;0.1,"0",IF(F114/F115&lt;0.5,"0,5",IF(F114/F115&lt;0.75,"1",IF(F114/F115&lt;=0.99,"1,5",IF(F114/F115=1,"2"))))),0)</f>
        <v>2</v>
      </c>
    </row>
    <row r="114" spans="1:6" s="27" customFormat="1" ht="29.45" customHeight="1" x14ac:dyDescent="0.25">
      <c r="A114" s="49"/>
      <c r="B114" s="38"/>
      <c r="C114" s="150" t="s">
        <v>228</v>
      </c>
      <c r="D114" s="150"/>
      <c r="F114" s="22">
        <v>85</v>
      </c>
    </row>
    <row r="115" spans="1:6" s="27" customFormat="1" ht="29.45" customHeight="1" x14ac:dyDescent="0.25">
      <c r="A115" s="49"/>
      <c r="B115" s="38"/>
      <c r="C115" s="150" t="s">
        <v>229</v>
      </c>
      <c r="D115" s="150"/>
      <c r="F115" s="22">
        <v>85</v>
      </c>
    </row>
    <row r="116" spans="1:6" s="27" customFormat="1" ht="20.45" customHeight="1" x14ac:dyDescent="0.25">
      <c r="A116" s="108" t="s">
        <v>412</v>
      </c>
      <c r="B116" s="151" t="s">
        <v>312</v>
      </c>
      <c r="C116" s="152"/>
      <c r="D116" s="153"/>
      <c r="F116" s="22" t="str">
        <f>F117</f>
        <v>2</v>
      </c>
    </row>
    <row r="117" spans="1:6" s="27" customFormat="1" ht="30.6" customHeight="1" x14ac:dyDescent="0.25">
      <c r="A117" s="49"/>
      <c r="B117" s="34">
        <v>1</v>
      </c>
      <c r="C117" s="149" t="s">
        <v>230</v>
      </c>
      <c r="D117" s="149"/>
      <c r="E117" s="27" t="s">
        <v>351</v>
      </c>
      <c r="F117" s="95" t="str">
        <f>IFERROR(IF(F118/F119&lt;0.1,"0",IF(F118/F119&lt;0.5,"0,5",IF(F118/F119&lt;0.75,"1",IF(F118/F119&lt;=0.99,"1,5",IF(F118/F119=1,"2"))))),0)</f>
        <v>2</v>
      </c>
    </row>
    <row r="118" spans="1:6" s="27" customFormat="1" ht="30.6" customHeight="1" x14ac:dyDescent="0.25">
      <c r="A118" s="49"/>
      <c r="B118" s="38"/>
      <c r="C118" s="150" t="s">
        <v>231</v>
      </c>
      <c r="D118" s="150"/>
      <c r="F118" s="22">
        <v>100</v>
      </c>
    </row>
    <row r="119" spans="1:6" s="27" customFormat="1" ht="30.6" customHeight="1" x14ac:dyDescent="0.25">
      <c r="A119" s="49"/>
      <c r="B119" s="38"/>
      <c r="C119" s="150" t="s">
        <v>232</v>
      </c>
      <c r="D119" s="150"/>
      <c r="F119" s="22">
        <v>100</v>
      </c>
    </row>
    <row r="120" spans="1:6" s="27" customFormat="1" ht="22.9" customHeight="1" x14ac:dyDescent="0.25">
      <c r="A120" s="108" t="s">
        <v>413</v>
      </c>
      <c r="B120" s="151" t="s">
        <v>313</v>
      </c>
      <c r="C120" s="152"/>
      <c r="D120" s="153"/>
      <c r="F120" s="22" t="str">
        <f>F121</f>
        <v>2</v>
      </c>
    </row>
    <row r="121" spans="1:6" s="27" customFormat="1" ht="30.6" customHeight="1" x14ac:dyDescent="0.25">
      <c r="A121" s="49"/>
      <c r="B121" s="34">
        <v>1</v>
      </c>
      <c r="C121" s="149" t="s">
        <v>233</v>
      </c>
      <c r="D121" s="149"/>
      <c r="E121" s="27" t="s">
        <v>351</v>
      </c>
      <c r="F121" s="95" t="str">
        <f>IFERROR(IF(F122/F123&lt;0.1,"0",IF(F122/F123&lt;0.5,"0,5",IF(F122/F123&lt;0.75,"1",IF(F122/F123&lt;=0.99,"1,5",IF(F122/F123=1,"2"))))),0)</f>
        <v>2</v>
      </c>
    </row>
    <row r="122" spans="1:6" s="27" customFormat="1" ht="30.6" customHeight="1" x14ac:dyDescent="0.25">
      <c r="A122" s="49"/>
      <c r="B122" s="38"/>
      <c r="C122" s="150" t="s">
        <v>234</v>
      </c>
      <c r="D122" s="150"/>
      <c r="F122" s="22">
        <v>40</v>
      </c>
    </row>
    <row r="123" spans="1:6" s="27" customFormat="1" ht="30.6" customHeight="1" x14ac:dyDescent="0.25">
      <c r="A123" s="49"/>
      <c r="B123" s="38"/>
      <c r="C123" s="150" t="s">
        <v>235</v>
      </c>
      <c r="D123" s="150"/>
      <c r="F123" s="22">
        <v>40</v>
      </c>
    </row>
    <row r="124" spans="1:6" s="27" customFormat="1" ht="30.6" customHeight="1" x14ac:dyDescent="0.25">
      <c r="A124" s="108" t="s">
        <v>414</v>
      </c>
      <c r="B124" s="151" t="s">
        <v>314</v>
      </c>
      <c r="C124" s="152"/>
      <c r="D124" s="153"/>
      <c r="F124" s="22" t="str">
        <f>F125</f>
        <v>2</v>
      </c>
    </row>
    <row r="125" spans="1:6" s="27" customFormat="1" ht="30.6" customHeight="1" x14ac:dyDescent="0.25">
      <c r="A125" s="49"/>
      <c r="B125" s="34">
        <v>1</v>
      </c>
      <c r="C125" s="149" t="s">
        <v>236</v>
      </c>
      <c r="D125" s="149"/>
      <c r="E125" s="27" t="s">
        <v>351</v>
      </c>
      <c r="F125" s="95" t="str">
        <f>IFERROR(IF(F126/F127&lt;0.1,"0",IF(F126/F127&lt;0.5,"0,5",IF(F126/F127&lt;0.75,"1",IF(F126/F127&lt;=0.99,"1,5",IF(F126/F127=1,"2"))))),0)</f>
        <v>2</v>
      </c>
    </row>
    <row r="126" spans="1:6" s="27" customFormat="1" ht="30.6" customHeight="1" x14ac:dyDescent="0.25">
      <c r="A126" s="49"/>
      <c r="B126" s="38"/>
      <c r="C126" s="150" t="s">
        <v>237</v>
      </c>
      <c r="D126" s="150"/>
      <c r="F126" s="22">
        <v>3</v>
      </c>
    </row>
    <row r="127" spans="1:6" s="27" customFormat="1" ht="30.6" customHeight="1" x14ac:dyDescent="0.25">
      <c r="A127" s="49"/>
      <c r="B127" s="38"/>
      <c r="C127" s="150" t="s">
        <v>238</v>
      </c>
      <c r="D127" s="150"/>
      <c r="F127" s="22">
        <v>3</v>
      </c>
    </row>
    <row r="128" spans="1:6" s="27" customFormat="1" ht="46.9" customHeight="1" x14ac:dyDescent="0.25">
      <c r="A128" s="108" t="s">
        <v>415</v>
      </c>
      <c r="B128" s="151" t="s">
        <v>315</v>
      </c>
      <c r="C128" s="152"/>
      <c r="D128" s="153"/>
      <c r="F128" s="22" t="str">
        <f>F129</f>
        <v>2</v>
      </c>
    </row>
    <row r="129" spans="1:6" s="27" customFormat="1" ht="30.6" customHeight="1" x14ac:dyDescent="0.25">
      <c r="A129" s="49"/>
      <c r="B129" s="34">
        <v>1</v>
      </c>
      <c r="C129" s="149" t="s">
        <v>239</v>
      </c>
      <c r="D129" s="149"/>
      <c r="E129" s="27" t="s">
        <v>351</v>
      </c>
      <c r="F129" s="95" t="str">
        <f>IFERROR(IF(F130/F131&lt;0.1,"0",IF(F130/F131&lt;0.5,"0,5",IF(F130/F131&lt;0.75,"1",IF(F130/F131&lt;=0.99,"1,5",IF(F130/F131=1,"2"))))),0)</f>
        <v>2</v>
      </c>
    </row>
    <row r="130" spans="1:6" s="27" customFormat="1" ht="30.6" customHeight="1" x14ac:dyDescent="0.25">
      <c r="A130" s="49"/>
      <c r="B130" s="38"/>
      <c r="C130" s="150" t="s">
        <v>240</v>
      </c>
      <c r="D130" s="150"/>
      <c r="F130" s="22">
        <v>3</v>
      </c>
    </row>
    <row r="131" spans="1:6" s="27" customFormat="1" ht="30.6" customHeight="1" x14ac:dyDescent="0.25">
      <c r="A131" s="49"/>
      <c r="B131" s="38"/>
      <c r="C131" s="150" t="s">
        <v>241</v>
      </c>
      <c r="D131" s="150"/>
      <c r="F131" s="22">
        <v>3</v>
      </c>
    </row>
    <row r="132" spans="1:6" s="27" customFormat="1" ht="19.149999999999999" customHeight="1" x14ac:dyDescent="0.25">
      <c r="A132" s="108" t="s">
        <v>416</v>
      </c>
      <c r="B132" s="151" t="s">
        <v>242</v>
      </c>
      <c r="C132" s="152"/>
      <c r="D132" s="153"/>
      <c r="F132" s="22" t="str">
        <f>F133</f>
        <v>0,5</v>
      </c>
    </row>
    <row r="133" spans="1:6" s="27" customFormat="1" ht="21" customHeight="1" x14ac:dyDescent="0.25">
      <c r="A133" s="49"/>
      <c r="B133" s="34" t="s">
        <v>5</v>
      </c>
      <c r="C133" s="149" t="s">
        <v>242</v>
      </c>
      <c r="D133" s="149"/>
      <c r="E133" s="27" t="s">
        <v>350</v>
      </c>
      <c r="F133" s="22" t="str">
        <f>F134</f>
        <v>0,5</v>
      </c>
    </row>
    <row r="134" spans="1:6" s="27" customFormat="1" ht="19.899999999999999" customHeight="1" x14ac:dyDescent="0.25">
      <c r="A134" s="48"/>
      <c r="B134" s="80"/>
      <c r="C134" s="148" t="s">
        <v>243</v>
      </c>
      <c r="D134" s="148"/>
      <c r="F134" s="10" t="str">
        <f>IF(C134=combo!B76,"0",IF(C134=combo!B77,"0,5"))</f>
        <v>0,5</v>
      </c>
    </row>
    <row r="135" spans="1:6" s="27" customFormat="1" ht="19.149999999999999" customHeight="1" x14ac:dyDescent="0.25">
      <c r="A135" s="109" t="s">
        <v>417</v>
      </c>
      <c r="B135" s="151" t="s">
        <v>316</v>
      </c>
      <c r="C135" s="152"/>
      <c r="D135" s="153"/>
      <c r="F135" s="22" t="str">
        <f>F136</f>
        <v>1</v>
      </c>
    </row>
    <row r="136" spans="1:6" s="27" customFormat="1" ht="19.899999999999999" customHeight="1" x14ac:dyDescent="0.25">
      <c r="A136" s="48"/>
      <c r="B136" s="34">
        <v>1</v>
      </c>
      <c r="C136" s="149" t="s">
        <v>244</v>
      </c>
      <c r="D136" s="149"/>
      <c r="E136" s="27" t="s">
        <v>351</v>
      </c>
      <c r="F136" s="95" t="str">
        <f>IFERROR(IF(F137/F138&lt;0.1,"0",IF(F137/F138&lt;0.5,"0,25",IF(F137/F138&lt;0.75,"0,5",IF(F137/F138&lt;=0.99,"0,75",IF(F137/F138=1,"1"))))),0)</f>
        <v>1</v>
      </c>
    </row>
    <row r="137" spans="1:6" s="27" customFormat="1" ht="31.15" customHeight="1" x14ac:dyDescent="0.25">
      <c r="A137" s="50"/>
      <c r="B137" s="41"/>
      <c r="C137" s="150" t="s">
        <v>245</v>
      </c>
      <c r="D137" s="150"/>
      <c r="F137" s="22">
        <v>4</v>
      </c>
    </row>
    <row r="138" spans="1:6" s="27" customFormat="1" ht="30.6" customHeight="1" x14ac:dyDescent="0.25">
      <c r="A138" s="50"/>
      <c r="B138" s="41"/>
      <c r="C138" s="150" t="s">
        <v>246</v>
      </c>
      <c r="D138" s="150"/>
      <c r="F138" s="22">
        <v>4</v>
      </c>
    </row>
    <row r="139" spans="1:6" s="27" customFormat="1" ht="30.6" customHeight="1" x14ac:dyDescent="0.25">
      <c r="A139" s="107" t="s">
        <v>418</v>
      </c>
      <c r="B139" s="151" t="s">
        <v>317</v>
      </c>
      <c r="C139" s="152"/>
      <c r="D139" s="153"/>
      <c r="F139" s="22" t="str">
        <f>F140</f>
        <v>1</v>
      </c>
    </row>
    <row r="140" spans="1:6" s="27" customFormat="1" ht="21.6" customHeight="1" x14ac:dyDescent="0.25">
      <c r="A140" s="50"/>
      <c r="B140" s="34">
        <v>1</v>
      </c>
      <c r="C140" s="149" t="s">
        <v>247</v>
      </c>
      <c r="D140" s="149"/>
      <c r="E140" s="27" t="s">
        <v>351</v>
      </c>
      <c r="F140" s="95" t="str">
        <f>IFERROR(IF(F141/F142&lt;0.1,"0",IF(F141/F142&lt;0.5,"0,25",IF(F141/F142&lt;0.75,"0,5",IF(F141/F142&lt;=0.99,"0,75",IF(F141/F142=1,"1"))))),0)</f>
        <v>1</v>
      </c>
    </row>
    <row r="141" spans="1:6" s="27" customFormat="1" ht="30" customHeight="1" x14ac:dyDescent="0.25">
      <c r="A141" s="50"/>
      <c r="B141" s="53"/>
      <c r="C141" s="150" t="s">
        <v>248</v>
      </c>
      <c r="D141" s="150"/>
      <c r="F141" s="22">
        <v>8</v>
      </c>
    </row>
    <row r="142" spans="1:6" s="27" customFormat="1" ht="33.6" customHeight="1" x14ac:dyDescent="0.25">
      <c r="A142" s="50"/>
      <c r="B142" s="41"/>
      <c r="C142" s="150" t="s">
        <v>318</v>
      </c>
      <c r="D142" s="150"/>
      <c r="F142" s="22">
        <v>8</v>
      </c>
    </row>
    <row r="143" spans="1:6" s="27" customFormat="1" ht="19.899999999999999" customHeight="1" x14ac:dyDescent="0.25">
      <c r="A143" s="47" t="s">
        <v>319</v>
      </c>
      <c r="B143" s="127" t="s">
        <v>49</v>
      </c>
      <c r="C143" s="127"/>
      <c r="D143" s="127"/>
      <c r="F143" s="22"/>
    </row>
    <row r="144" spans="1:6" s="27" customFormat="1" ht="23.45" customHeight="1" x14ac:dyDescent="0.25">
      <c r="A144" s="47" t="s">
        <v>45</v>
      </c>
      <c r="B144" s="126" t="s">
        <v>50</v>
      </c>
      <c r="C144" s="126"/>
      <c r="D144" s="126"/>
      <c r="F144" s="22"/>
    </row>
    <row r="145" spans="1:6" s="27" customFormat="1" ht="21" customHeight="1" x14ac:dyDescent="0.25">
      <c r="A145" s="47" t="s">
        <v>46</v>
      </c>
      <c r="B145" s="126" t="s">
        <v>51</v>
      </c>
      <c r="C145" s="126"/>
      <c r="D145" s="126"/>
      <c r="F145" s="22"/>
    </row>
    <row r="146" spans="1:6" s="27" customFormat="1" ht="21.6" customHeight="1" x14ac:dyDescent="0.25">
      <c r="A146" s="107" t="s">
        <v>402</v>
      </c>
      <c r="B146" s="151" t="s">
        <v>52</v>
      </c>
      <c r="C146" s="152"/>
      <c r="D146" s="153"/>
      <c r="F146" s="103" t="str">
        <f>F147</f>
        <v>3</v>
      </c>
    </row>
    <row r="147" spans="1:6" s="27" customFormat="1" ht="16.149999999999999" customHeight="1" x14ac:dyDescent="0.25">
      <c r="A147" s="107"/>
      <c r="B147" s="34" t="s">
        <v>5</v>
      </c>
      <c r="C147" s="149" t="s">
        <v>249</v>
      </c>
      <c r="D147" s="149"/>
      <c r="F147" s="95" t="str">
        <f>IFERROR(IF(F148&lt;=8,"3",IF(F148&lt;=15,"2",IF(F148&lt;=30,"1",IF(F148&gt;30,"0,5")))),0)</f>
        <v>3</v>
      </c>
    </row>
    <row r="148" spans="1:6" s="27" customFormat="1" ht="33" customHeight="1" x14ac:dyDescent="0.25">
      <c r="A148" s="107"/>
      <c r="B148" s="41"/>
      <c r="C148" s="150" t="s">
        <v>250</v>
      </c>
      <c r="D148" s="150"/>
      <c r="F148" s="22">
        <v>0</v>
      </c>
    </row>
    <row r="149" spans="1:6" s="27" customFormat="1" ht="21.6" customHeight="1" x14ac:dyDescent="0.25">
      <c r="A149" s="107" t="s">
        <v>403</v>
      </c>
      <c r="B149" s="151" t="s">
        <v>321</v>
      </c>
      <c r="C149" s="152"/>
      <c r="D149" s="153"/>
      <c r="F149" s="103">
        <f>F150</f>
        <v>0</v>
      </c>
    </row>
    <row r="150" spans="1:6" s="27" customFormat="1" ht="16.149999999999999" customHeight="1" x14ac:dyDescent="0.25">
      <c r="A150" s="107"/>
      <c r="B150" s="34" t="s">
        <v>5</v>
      </c>
      <c r="C150" s="149" t="s">
        <v>251</v>
      </c>
      <c r="D150" s="149"/>
      <c r="E150" s="27" t="s">
        <v>351</v>
      </c>
      <c r="F150" s="110">
        <f>IFERROR(IF(F151/F152&gt;0,),0)</f>
        <v>0</v>
      </c>
    </row>
    <row r="151" spans="1:6" s="27" customFormat="1" ht="15" customHeight="1" x14ac:dyDescent="0.25">
      <c r="A151" s="107"/>
      <c r="B151" s="41"/>
      <c r="C151" s="35" t="s">
        <v>252</v>
      </c>
      <c r="D151" s="41"/>
      <c r="F151" s="22">
        <v>2</v>
      </c>
    </row>
    <row r="152" spans="1:6" s="27" customFormat="1" ht="16.149999999999999" customHeight="1" x14ac:dyDescent="0.25">
      <c r="A152" s="107"/>
      <c r="B152" s="41"/>
      <c r="C152" s="35" t="s">
        <v>253</v>
      </c>
      <c r="D152" s="41"/>
      <c r="F152" s="22">
        <v>3</v>
      </c>
    </row>
    <row r="153" spans="1:6" s="27" customFormat="1" ht="16.149999999999999" customHeight="1" x14ac:dyDescent="0.25">
      <c r="A153" s="107" t="s">
        <v>404</v>
      </c>
      <c r="B153" s="151" t="s">
        <v>322</v>
      </c>
      <c r="C153" s="152"/>
      <c r="D153" s="153"/>
      <c r="F153" s="103">
        <f>F154</f>
        <v>0</v>
      </c>
    </row>
    <row r="154" spans="1:6" s="27" customFormat="1" ht="16.149999999999999" customHeight="1" x14ac:dyDescent="0.25">
      <c r="A154" s="107"/>
      <c r="B154" s="34" t="s">
        <v>5</v>
      </c>
      <c r="C154" s="149" t="s">
        <v>254</v>
      </c>
      <c r="D154" s="149"/>
      <c r="E154" s="27" t="s">
        <v>351</v>
      </c>
      <c r="F154" s="110">
        <f>IFERROR(IF(F155/F156&gt;0,),0)</f>
        <v>0</v>
      </c>
    </row>
    <row r="155" spans="1:6" s="27" customFormat="1" ht="16.149999999999999" customHeight="1" x14ac:dyDescent="0.25">
      <c r="A155" s="107"/>
      <c r="B155" s="41"/>
      <c r="C155" s="144" t="s">
        <v>255</v>
      </c>
      <c r="D155" s="144"/>
      <c r="F155" s="22">
        <v>2</v>
      </c>
    </row>
    <row r="156" spans="1:6" s="27" customFormat="1" ht="16.149999999999999" customHeight="1" x14ac:dyDescent="0.25">
      <c r="A156" s="107"/>
      <c r="B156" s="41"/>
      <c r="C156" s="144" t="s">
        <v>256</v>
      </c>
      <c r="D156" s="144"/>
      <c r="F156" s="22">
        <v>3</v>
      </c>
    </row>
    <row r="157" spans="1:6" s="27" customFormat="1" ht="16.149999999999999" customHeight="1" x14ac:dyDescent="0.25">
      <c r="A157" s="107" t="s">
        <v>405</v>
      </c>
      <c r="B157" s="151" t="s">
        <v>323</v>
      </c>
      <c r="C157" s="152"/>
      <c r="D157" s="153"/>
      <c r="F157" s="103" t="str">
        <f>F158</f>
        <v>3</v>
      </c>
    </row>
    <row r="158" spans="1:6" s="27" customFormat="1" ht="16.149999999999999" customHeight="1" x14ac:dyDescent="0.25">
      <c r="A158" s="107"/>
      <c r="B158" s="34" t="s">
        <v>5</v>
      </c>
      <c r="C158" s="149" t="s">
        <v>257</v>
      </c>
      <c r="D158" s="149"/>
      <c r="F158" s="95" t="str">
        <f>IFERROR(IF(F159&lt;=3,"3",IF(F159&lt;=4,"2",IF(F159&lt;=5,"1",IF(F159&gt;5,"0,5")))),0)</f>
        <v>3</v>
      </c>
    </row>
    <row r="159" spans="1:6" s="27" customFormat="1" ht="27" customHeight="1" x14ac:dyDescent="0.25">
      <c r="A159" s="107"/>
      <c r="B159" s="40"/>
      <c r="C159" s="150" t="s">
        <v>258</v>
      </c>
      <c r="D159" s="150"/>
      <c r="F159" s="22">
        <v>3</v>
      </c>
    </row>
    <row r="160" spans="1:6" s="27" customFormat="1" ht="21" customHeight="1" x14ac:dyDescent="0.25">
      <c r="A160" s="107" t="s">
        <v>406</v>
      </c>
      <c r="B160" s="151" t="s">
        <v>53</v>
      </c>
      <c r="C160" s="152"/>
      <c r="D160" s="153"/>
      <c r="F160" s="103" t="str">
        <f>F161</f>
        <v>3</v>
      </c>
    </row>
    <row r="161" spans="1:6" s="27" customFormat="1" ht="16.149999999999999" customHeight="1" x14ac:dyDescent="0.25">
      <c r="A161" s="107"/>
      <c r="B161" s="34" t="s">
        <v>5</v>
      </c>
      <c r="C161" s="149" t="s">
        <v>259</v>
      </c>
      <c r="D161" s="149"/>
      <c r="E161" s="27" t="s">
        <v>351</v>
      </c>
      <c r="F161" s="95" t="str">
        <f>IFERROR(IF(F162/F163&lt;=0.3,"0,5",IF(F162/F163&lt;=0.5,"1",IF(F162/F163&lt;=0.84,"2",IF(F162/F163&gt;0.84,"3")))),0)</f>
        <v>3</v>
      </c>
    </row>
    <row r="162" spans="1:6" s="27" customFormat="1" ht="17.45" customHeight="1" x14ac:dyDescent="0.25">
      <c r="A162" s="107"/>
      <c r="B162" s="41"/>
      <c r="C162" s="145" t="s">
        <v>89</v>
      </c>
      <c r="D162" s="145"/>
      <c r="F162" s="22">
        <v>90</v>
      </c>
    </row>
    <row r="163" spans="1:6" s="27" customFormat="1" ht="28.15" customHeight="1" x14ac:dyDescent="0.25">
      <c r="A163" s="107"/>
      <c r="B163" s="41"/>
      <c r="C163" s="150" t="s">
        <v>90</v>
      </c>
      <c r="D163" s="150"/>
      <c r="F163" s="22">
        <v>80</v>
      </c>
    </row>
    <row r="164" spans="1:6" s="27" customFormat="1" ht="22.9" customHeight="1" x14ac:dyDescent="0.25">
      <c r="A164" s="107" t="s">
        <v>407</v>
      </c>
      <c r="B164" s="151" t="s">
        <v>324</v>
      </c>
      <c r="C164" s="152"/>
      <c r="D164" s="153"/>
      <c r="F164" s="103" t="str">
        <f>F165</f>
        <v>3</v>
      </c>
    </row>
    <row r="165" spans="1:6" s="27" customFormat="1" ht="16.149999999999999" customHeight="1" x14ac:dyDescent="0.25">
      <c r="A165" s="107"/>
      <c r="B165" s="34" t="s">
        <v>5</v>
      </c>
      <c r="C165" s="149" t="s">
        <v>260</v>
      </c>
      <c r="D165" s="149"/>
      <c r="E165" s="27" t="s">
        <v>351</v>
      </c>
      <c r="F165" s="95" t="str">
        <f>IFERROR(IF(F166/F167&lt;0.8,"3",IF(F166/F167&lt;0.9,"2",IF(F166/F167&lt;1,"1",IF(F166/F167&gt;=1,"0,5")))),0)</f>
        <v>3</v>
      </c>
    </row>
    <row r="166" spans="1:6" s="27" customFormat="1" ht="19.149999999999999" customHeight="1" x14ac:dyDescent="0.25">
      <c r="A166" s="107"/>
      <c r="B166" s="41"/>
      <c r="C166" s="54" t="s">
        <v>91</v>
      </c>
      <c r="D166" s="41"/>
      <c r="F166" s="22">
        <v>1</v>
      </c>
    </row>
    <row r="167" spans="1:6" s="27" customFormat="1" ht="28.9" customHeight="1" x14ac:dyDescent="0.25">
      <c r="A167" s="107"/>
      <c r="B167" s="41"/>
      <c r="C167" s="150" t="s">
        <v>92</v>
      </c>
      <c r="D167" s="150"/>
      <c r="F167" s="22">
        <v>100</v>
      </c>
    </row>
    <row r="168" spans="1:6" s="27" customFormat="1" ht="20.45" customHeight="1" x14ac:dyDescent="0.25">
      <c r="A168" s="107" t="s">
        <v>408</v>
      </c>
      <c r="B168" s="151" t="s">
        <v>325</v>
      </c>
      <c r="C168" s="152"/>
      <c r="D168" s="153"/>
      <c r="F168" s="103" t="str">
        <f>F169</f>
        <v>3</v>
      </c>
    </row>
    <row r="169" spans="1:6" s="27" customFormat="1" ht="16.149999999999999" customHeight="1" x14ac:dyDescent="0.25">
      <c r="A169" s="107"/>
      <c r="B169" s="34" t="s">
        <v>5</v>
      </c>
      <c r="C169" s="149" t="s">
        <v>261</v>
      </c>
      <c r="D169" s="149"/>
      <c r="E169" s="27" t="s">
        <v>351</v>
      </c>
      <c r="F169" s="95" t="str">
        <f>IFERROR(IF(F170/F171&lt;0.8,"0,5",IF(F170/F171&lt;0.9,"1",IF(F170/F171&lt;1,"2",IF(F170/F171&gt;=1,"3")))),0)</f>
        <v>3</v>
      </c>
    </row>
    <row r="170" spans="1:6" s="27" customFormat="1" ht="36.6" customHeight="1" x14ac:dyDescent="0.25">
      <c r="A170" s="107"/>
      <c r="B170" s="41"/>
      <c r="C170" s="150" t="s">
        <v>93</v>
      </c>
      <c r="D170" s="150"/>
      <c r="F170" s="22">
        <v>10</v>
      </c>
    </row>
    <row r="171" spans="1:6" s="27" customFormat="1" ht="16.149999999999999" customHeight="1" x14ac:dyDescent="0.25">
      <c r="A171" s="107"/>
      <c r="B171" s="41"/>
      <c r="C171" s="35" t="s">
        <v>94</v>
      </c>
      <c r="D171" s="41"/>
      <c r="F171" s="22">
        <v>10</v>
      </c>
    </row>
    <row r="172" spans="1:6" s="27" customFormat="1" ht="18.600000000000001" customHeight="1" x14ac:dyDescent="0.25">
      <c r="A172" s="107" t="s">
        <v>409</v>
      </c>
      <c r="B172" s="151" t="s">
        <v>326</v>
      </c>
      <c r="C172" s="152"/>
      <c r="D172" s="153"/>
      <c r="F172" s="103">
        <f>F173</f>
        <v>0</v>
      </c>
    </row>
    <row r="173" spans="1:6" s="27" customFormat="1" ht="19.149999999999999" customHeight="1" x14ac:dyDescent="0.25">
      <c r="A173" s="107"/>
      <c r="B173" s="34" t="s">
        <v>5</v>
      </c>
      <c r="C173" s="149" t="s">
        <v>262</v>
      </c>
      <c r="D173" s="149"/>
      <c r="E173" s="27" t="s">
        <v>351</v>
      </c>
      <c r="F173" s="110">
        <f>IFERROR(IF(F174/F175&gt;0,),0)</f>
        <v>0</v>
      </c>
    </row>
    <row r="174" spans="1:6" s="27" customFormat="1" ht="18.600000000000001" customHeight="1" x14ac:dyDescent="0.25">
      <c r="A174" s="107"/>
      <c r="B174" s="41"/>
      <c r="C174" s="144" t="s">
        <v>263</v>
      </c>
      <c r="D174" s="144"/>
      <c r="F174" s="22">
        <v>1</v>
      </c>
    </row>
    <row r="175" spans="1:6" s="27" customFormat="1" ht="16.899999999999999" customHeight="1" x14ac:dyDescent="0.25">
      <c r="A175" s="107"/>
      <c r="B175" s="41"/>
      <c r="C175" s="144" t="s">
        <v>95</v>
      </c>
      <c r="D175" s="144"/>
      <c r="F175" s="22">
        <v>2</v>
      </c>
    </row>
    <row r="176" spans="1:6" s="27" customFormat="1" ht="19.899999999999999" customHeight="1" x14ac:dyDescent="0.25">
      <c r="A176" s="107" t="s">
        <v>410</v>
      </c>
      <c r="B176" s="151" t="s">
        <v>327</v>
      </c>
      <c r="C176" s="152"/>
      <c r="D176" s="153"/>
      <c r="F176" s="103">
        <f>F177+F180</f>
        <v>2.5</v>
      </c>
    </row>
    <row r="177" spans="1:8" s="27" customFormat="1" ht="16.149999999999999" customHeight="1" x14ac:dyDescent="0.25">
      <c r="A177" s="50"/>
      <c r="B177" s="34" t="s">
        <v>5</v>
      </c>
      <c r="C177" s="149" t="s">
        <v>264</v>
      </c>
      <c r="D177" s="149"/>
      <c r="E177" s="27" t="s">
        <v>351</v>
      </c>
      <c r="F177" s="95" t="str">
        <f>IFERROR(IF(F178/F179&lt;0.5,"0,1",IF(F178/F179&lt;0.7,"0,5",IF(F178/F179&lt;0.9,"0,75",IF(F178/F179&lt;=1,"1")))),0)</f>
        <v>1</v>
      </c>
    </row>
    <row r="178" spans="1:8" s="27" customFormat="1" ht="30.6" customHeight="1" x14ac:dyDescent="0.25">
      <c r="A178" s="50"/>
      <c r="B178" s="41"/>
      <c r="C178" s="150" t="s">
        <v>399</v>
      </c>
      <c r="D178" s="150"/>
      <c r="F178" s="22">
        <v>10</v>
      </c>
    </row>
    <row r="179" spans="1:8" s="27" customFormat="1" ht="32.450000000000003" customHeight="1" x14ac:dyDescent="0.25">
      <c r="A179" s="50"/>
      <c r="B179" s="41"/>
      <c r="C179" s="150" t="s">
        <v>265</v>
      </c>
      <c r="D179" s="150"/>
      <c r="F179" s="22">
        <v>10</v>
      </c>
    </row>
    <row r="180" spans="1:8" s="27" customFormat="1" ht="19.899999999999999" customHeight="1" x14ac:dyDescent="0.25">
      <c r="A180" s="50"/>
      <c r="B180" s="34" t="s">
        <v>17</v>
      </c>
      <c r="C180" s="149" t="s">
        <v>266</v>
      </c>
      <c r="D180" s="149"/>
      <c r="E180" s="27" t="s">
        <v>351</v>
      </c>
      <c r="F180" s="95" t="str">
        <f>IFERROR(IF(F181/F182&lt;=0.3,"0,1",IF(F181/F182&lt;=0.5,"0,5",IF(F181/F182&lt;=0.9,"1",IF(F181/F182&gt;0.9,"1,5")))),0)</f>
        <v>1,5</v>
      </c>
      <c r="G180" s="100"/>
      <c r="H180" s="100"/>
    </row>
    <row r="181" spans="1:8" s="27" customFormat="1" ht="31.15" customHeight="1" x14ac:dyDescent="0.25">
      <c r="A181" s="50"/>
      <c r="B181" s="41"/>
      <c r="C181" s="154" t="s">
        <v>267</v>
      </c>
      <c r="D181" s="154"/>
      <c r="F181" s="22">
        <v>9</v>
      </c>
      <c r="G181" s="100"/>
      <c r="H181" s="100"/>
    </row>
    <row r="182" spans="1:8" s="27" customFormat="1" ht="30" customHeight="1" x14ac:dyDescent="0.25">
      <c r="A182" s="50"/>
      <c r="B182" s="41"/>
      <c r="C182" s="150" t="s">
        <v>268</v>
      </c>
      <c r="D182" s="150"/>
      <c r="F182" s="22">
        <v>9</v>
      </c>
      <c r="G182" s="100"/>
      <c r="H182" s="100"/>
    </row>
    <row r="183" spans="1:8" s="27" customFormat="1" ht="27" customHeight="1" x14ac:dyDescent="0.25">
      <c r="A183" s="47" t="s">
        <v>61</v>
      </c>
      <c r="B183" s="127" t="s">
        <v>328</v>
      </c>
      <c r="C183" s="127"/>
      <c r="D183" s="127"/>
      <c r="E183" s="100"/>
      <c r="F183" s="22"/>
      <c r="G183" s="100"/>
      <c r="H183" s="100"/>
    </row>
    <row r="184" spans="1:8" s="27" customFormat="1" ht="21.6" customHeight="1" x14ac:dyDescent="0.25">
      <c r="A184" s="107" t="s">
        <v>402</v>
      </c>
      <c r="B184" s="151" t="s">
        <v>329</v>
      </c>
      <c r="C184" s="152"/>
      <c r="D184" s="153"/>
      <c r="F184" s="22" t="str">
        <f>F185</f>
        <v>1,5</v>
      </c>
    </row>
    <row r="185" spans="1:8" s="27" customFormat="1" ht="22.9" customHeight="1" x14ac:dyDescent="0.25">
      <c r="A185" s="107"/>
      <c r="B185" s="34" t="s">
        <v>5</v>
      </c>
      <c r="C185" s="149" t="s">
        <v>269</v>
      </c>
      <c r="D185" s="149"/>
      <c r="E185" s="27" t="s">
        <v>351</v>
      </c>
      <c r="F185" s="95" t="str">
        <f>IFERROR(IF(F186/F187&lt;=0.3,"0,2",IF(F186/F187&lt;=0.5,"0,5",IF(F186/F187&lt;=0.9,"0,75",IF(F186/F187&gt;0.9,"1,5")))),0)</f>
        <v>1,5</v>
      </c>
    </row>
    <row r="186" spans="1:8" s="27" customFormat="1" ht="34.9" customHeight="1" x14ac:dyDescent="0.25">
      <c r="A186" s="107"/>
      <c r="B186" s="41"/>
      <c r="C186" s="150" t="s">
        <v>270</v>
      </c>
      <c r="D186" s="150"/>
      <c r="F186" s="22">
        <v>4</v>
      </c>
    </row>
    <row r="187" spans="1:8" s="27" customFormat="1" ht="22.9" customHeight="1" x14ac:dyDescent="0.25">
      <c r="A187" s="107"/>
      <c r="B187" s="41"/>
      <c r="C187" s="150" t="s">
        <v>271</v>
      </c>
      <c r="D187" s="150"/>
      <c r="F187" s="22">
        <v>4</v>
      </c>
    </row>
    <row r="188" spans="1:8" s="27" customFormat="1" ht="22.9" customHeight="1" x14ac:dyDescent="0.25">
      <c r="A188" s="107" t="s">
        <v>403</v>
      </c>
      <c r="B188" s="151" t="s">
        <v>64</v>
      </c>
      <c r="C188" s="152"/>
      <c r="D188" s="153"/>
      <c r="F188" s="22" t="str">
        <f>F189</f>
        <v>1,5</v>
      </c>
    </row>
    <row r="189" spans="1:8" s="27" customFormat="1" ht="18" customHeight="1" x14ac:dyDescent="0.25">
      <c r="A189" s="107"/>
      <c r="B189" s="34" t="s">
        <v>5</v>
      </c>
      <c r="C189" s="149" t="s">
        <v>272</v>
      </c>
      <c r="D189" s="149"/>
      <c r="E189" s="27" t="s">
        <v>351</v>
      </c>
      <c r="F189" s="95" t="str">
        <f>IFERROR(IF((F190/F191)*25&lt;=0.3,"0,5",IF((F190/F191)*25&lt;=0.5,"0,8",IF((F190/F191)*25&lt;=0.766,"0,1",IF((F190/F191)*25&gt;0.766,"1,5")))),0)</f>
        <v>1,5</v>
      </c>
    </row>
    <row r="190" spans="1:8" s="27" customFormat="1" ht="21.6" customHeight="1" x14ac:dyDescent="0.25">
      <c r="A190" s="107"/>
      <c r="B190" s="41"/>
      <c r="C190" s="150" t="s">
        <v>273</v>
      </c>
      <c r="D190" s="150"/>
      <c r="F190" s="22">
        <v>80</v>
      </c>
    </row>
    <row r="191" spans="1:8" s="27" customFormat="1" ht="25.15" customHeight="1" x14ac:dyDescent="0.25">
      <c r="A191" s="107"/>
      <c r="B191" s="41"/>
      <c r="C191" s="150" t="s">
        <v>274</v>
      </c>
      <c r="D191" s="150"/>
      <c r="F191" s="22">
        <v>80</v>
      </c>
    </row>
    <row r="192" spans="1:8" s="27" customFormat="1" ht="22.9" customHeight="1" x14ac:dyDescent="0.25">
      <c r="A192" s="107" t="s">
        <v>404</v>
      </c>
      <c r="B192" s="151" t="s">
        <v>330</v>
      </c>
      <c r="C192" s="152"/>
      <c r="D192" s="153"/>
      <c r="F192" s="22">
        <f>F193+F196</f>
        <v>1.5</v>
      </c>
    </row>
    <row r="193" spans="1:6" s="27" customFormat="1" ht="20.45" customHeight="1" x14ac:dyDescent="0.25">
      <c r="A193" s="50"/>
      <c r="B193" s="34" t="s">
        <v>5</v>
      </c>
      <c r="C193" s="149" t="s">
        <v>401</v>
      </c>
      <c r="D193" s="149"/>
      <c r="E193" s="27" t="s">
        <v>351</v>
      </c>
      <c r="F193" s="95" t="str">
        <f>IFERROR(IF(F194/F195&lt;=0.3,"0,1",IF(F194/F195&lt;=0.5,"0,25",IF(F194/F195&lt;=0.9,"0,5",IF(F194/F195&gt;0.9,"0,75")))),0)</f>
        <v>0,75</v>
      </c>
    </row>
    <row r="194" spans="1:6" s="27" customFormat="1" ht="16.149999999999999" customHeight="1" x14ac:dyDescent="0.25">
      <c r="A194" s="50"/>
      <c r="B194" s="41"/>
      <c r="C194" s="40" t="s">
        <v>275</v>
      </c>
      <c r="D194" s="61"/>
      <c r="F194" s="22">
        <v>80</v>
      </c>
    </row>
    <row r="195" spans="1:6" s="27" customFormat="1" ht="18" customHeight="1" x14ac:dyDescent="0.25">
      <c r="A195" s="50"/>
      <c r="B195" s="41"/>
      <c r="C195" s="40" t="s">
        <v>276</v>
      </c>
      <c r="D195" s="61"/>
      <c r="F195" s="22">
        <v>80</v>
      </c>
    </row>
    <row r="196" spans="1:6" s="27" customFormat="1" ht="16.149999999999999" customHeight="1" x14ac:dyDescent="0.25">
      <c r="A196" s="50"/>
      <c r="B196" s="34" t="s">
        <v>17</v>
      </c>
      <c r="C196" s="149" t="s">
        <v>366</v>
      </c>
      <c r="D196" s="149"/>
      <c r="E196" s="27" t="s">
        <v>351</v>
      </c>
      <c r="F196" s="95" t="str">
        <f>IFERROR(IF(F197/F198&lt;=0.1,"0,75",IF(F197/F198&lt;=0.3,"0,5",IF(F197/F198&lt;=0.5,"0,25",IF(F197/F198&gt;0.5,"0")))),0)</f>
        <v>0,75</v>
      </c>
    </row>
    <row r="197" spans="1:6" s="27" customFormat="1" ht="30.6" customHeight="1" x14ac:dyDescent="0.25">
      <c r="A197" s="50"/>
      <c r="B197" s="41"/>
      <c r="C197" s="146" t="s">
        <v>277</v>
      </c>
      <c r="D197" s="147"/>
      <c r="F197" s="22">
        <v>1</v>
      </c>
    </row>
    <row r="198" spans="1:6" s="27" customFormat="1" ht="33.6" customHeight="1" x14ac:dyDescent="0.25">
      <c r="A198" s="50"/>
      <c r="B198" s="41"/>
      <c r="C198" s="150" t="s">
        <v>278</v>
      </c>
      <c r="D198" s="150"/>
      <c r="F198" s="22">
        <v>100</v>
      </c>
    </row>
    <row r="199" spans="1:6" s="27" customFormat="1" ht="27.6" customHeight="1" x14ac:dyDescent="0.25">
      <c r="A199" s="47" t="s">
        <v>63</v>
      </c>
      <c r="B199" s="127" t="s">
        <v>331</v>
      </c>
      <c r="C199" s="127"/>
      <c r="D199" s="127"/>
      <c r="F199" s="22"/>
    </row>
    <row r="200" spans="1:6" s="27" customFormat="1" ht="21.6" customHeight="1" x14ac:dyDescent="0.25">
      <c r="A200" s="107" t="s">
        <v>402</v>
      </c>
      <c r="B200" s="151" t="s">
        <v>279</v>
      </c>
      <c r="C200" s="152"/>
      <c r="D200" s="153"/>
      <c r="F200" s="22" t="str">
        <f>F201</f>
        <v>1</v>
      </c>
    </row>
    <row r="201" spans="1:6" s="27" customFormat="1" ht="16.149999999999999" customHeight="1" x14ac:dyDescent="0.25">
      <c r="A201" s="107"/>
      <c r="B201" s="34" t="s">
        <v>5</v>
      </c>
      <c r="C201" s="149" t="s">
        <v>279</v>
      </c>
      <c r="D201" s="149"/>
      <c r="E201" s="27" t="s">
        <v>350</v>
      </c>
      <c r="F201" s="101" t="str">
        <f>F202</f>
        <v>1</v>
      </c>
    </row>
    <row r="202" spans="1:6" s="27" customFormat="1" ht="16.149999999999999" customHeight="1" x14ac:dyDescent="0.25">
      <c r="A202" s="107"/>
      <c r="B202" s="81"/>
      <c r="C202" s="136" t="s">
        <v>243</v>
      </c>
      <c r="D202" s="137"/>
      <c r="F202" s="10" t="str">
        <f>IF(C202=combo!B80,"1",IF(C202=combo!B81,"0"))</f>
        <v>1</v>
      </c>
    </row>
    <row r="203" spans="1:6" s="27" customFormat="1" ht="16.149999999999999" customHeight="1" x14ac:dyDescent="0.25">
      <c r="A203" s="107" t="s">
        <v>403</v>
      </c>
      <c r="B203" s="151" t="s">
        <v>280</v>
      </c>
      <c r="C203" s="152"/>
      <c r="D203" s="153"/>
      <c r="F203" s="22" t="str">
        <f>F204</f>
        <v>1</v>
      </c>
    </row>
    <row r="204" spans="1:6" s="27" customFormat="1" ht="16.149999999999999" customHeight="1" x14ac:dyDescent="0.25">
      <c r="A204" s="107"/>
      <c r="B204" s="34" t="s">
        <v>5</v>
      </c>
      <c r="C204" s="149" t="s">
        <v>280</v>
      </c>
      <c r="D204" s="149"/>
      <c r="E204" s="27" t="s">
        <v>350</v>
      </c>
      <c r="F204" s="101" t="str">
        <f>F205</f>
        <v>1</v>
      </c>
    </row>
    <row r="205" spans="1:6" s="27" customFormat="1" ht="16.149999999999999" customHeight="1" x14ac:dyDescent="0.25">
      <c r="A205" s="107"/>
      <c r="B205" s="81"/>
      <c r="C205" s="136" t="s">
        <v>243</v>
      </c>
      <c r="D205" s="137"/>
      <c r="F205" s="10" t="str">
        <f>IF(C205=combo!B84,"1",IF(C205=combo!B85,"0"))</f>
        <v>1</v>
      </c>
    </row>
    <row r="206" spans="1:6" s="27" customFormat="1" ht="16.149999999999999" customHeight="1" x14ac:dyDescent="0.25">
      <c r="A206" s="107" t="s">
        <v>404</v>
      </c>
      <c r="B206" s="151" t="s">
        <v>281</v>
      </c>
      <c r="C206" s="152"/>
      <c r="D206" s="153"/>
      <c r="F206" s="22" t="str">
        <f>F207</f>
        <v>1</v>
      </c>
    </row>
    <row r="207" spans="1:6" s="27" customFormat="1" ht="21.6" customHeight="1" x14ac:dyDescent="0.25">
      <c r="A207" s="50"/>
      <c r="B207" s="34" t="s">
        <v>5</v>
      </c>
      <c r="C207" s="149" t="s">
        <v>281</v>
      </c>
      <c r="D207" s="149"/>
      <c r="E207" s="27" t="s">
        <v>350</v>
      </c>
      <c r="F207" s="101" t="str">
        <f>F208</f>
        <v>1</v>
      </c>
    </row>
    <row r="208" spans="1:6" s="27" customFormat="1" ht="23.45" customHeight="1" x14ac:dyDescent="0.25">
      <c r="A208" s="50"/>
      <c r="B208" s="81"/>
      <c r="C208" s="148" t="s">
        <v>243</v>
      </c>
      <c r="D208" s="148"/>
      <c r="F208" s="10" t="str">
        <f>IF(C208=combo!B88,"1",IF(C208=combo!B89,"0"))</f>
        <v>1</v>
      </c>
    </row>
    <row r="209" spans="1:7" s="27" customFormat="1" ht="23.45" customHeight="1" x14ac:dyDescent="0.25">
      <c r="A209" s="47" t="s">
        <v>332</v>
      </c>
      <c r="B209" s="127" t="s">
        <v>65</v>
      </c>
      <c r="C209" s="127"/>
      <c r="D209" s="127"/>
      <c r="F209" s="22"/>
    </row>
    <row r="210" spans="1:7" s="27" customFormat="1" ht="36.6" customHeight="1" x14ac:dyDescent="0.25">
      <c r="A210" s="50" t="s">
        <v>66</v>
      </c>
      <c r="B210" s="127" t="s">
        <v>67</v>
      </c>
      <c r="C210" s="127"/>
      <c r="D210" s="127"/>
      <c r="F210" s="22"/>
    </row>
    <row r="211" spans="1:7" s="27" customFormat="1" ht="21" customHeight="1" x14ac:dyDescent="0.25">
      <c r="A211" s="107" t="s">
        <v>402</v>
      </c>
      <c r="B211" s="151" t="s">
        <v>341</v>
      </c>
      <c r="C211" s="152"/>
      <c r="D211" s="153"/>
      <c r="F211" s="22" t="str">
        <f>F212</f>
        <v>2</v>
      </c>
    </row>
    <row r="212" spans="1:7" s="27" customFormat="1" ht="16.149999999999999" customHeight="1" x14ac:dyDescent="0.25">
      <c r="A212" s="107"/>
      <c r="B212" s="34" t="s">
        <v>5</v>
      </c>
      <c r="C212" s="149" t="s">
        <v>282</v>
      </c>
      <c r="D212" s="149"/>
      <c r="E212" s="27" t="s">
        <v>351</v>
      </c>
      <c r="F212" s="95" t="str">
        <f>IFERROR(IF((F213/F214)*1&lt;30,"2",IF((F213/F214)*1&lt;40,"1,6",IF((F213/F214)*1&lt;60,"1,2",IF((F213/F214)*1&lt;80,"0,8",IF((F213/F214)*1&lt;=100,"0,4",IF((F213/F214)*1&gt;100,"0")))))),0)</f>
        <v>2</v>
      </c>
    </row>
    <row r="213" spans="1:7" s="27" customFormat="1" ht="16.149999999999999" customHeight="1" x14ac:dyDescent="0.25">
      <c r="A213" s="107"/>
      <c r="B213" s="42"/>
      <c r="C213" s="150" t="s">
        <v>333</v>
      </c>
      <c r="D213" s="150"/>
      <c r="F213" s="22">
        <f>200000000*360</f>
        <v>72000000000</v>
      </c>
    </row>
    <row r="214" spans="1:7" s="27" customFormat="1" ht="16.149999999999999" customHeight="1" x14ac:dyDescent="0.25">
      <c r="A214" s="107"/>
      <c r="B214" s="42"/>
      <c r="C214" s="150" t="s">
        <v>334</v>
      </c>
      <c r="D214" s="150"/>
      <c r="F214" s="22">
        <f>200000000*360</f>
        <v>72000000000</v>
      </c>
    </row>
    <row r="215" spans="1:7" s="27" customFormat="1" ht="16.149999999999999" customHeight="1" x14ac:dyDescent="0.25">
      <c r="A215" s="107" t="s">
        <v>403</v>
      </c>
      <c r="B215" s="151" t="s">
        <v>340</v>
      </c>
      <c r="C215" s="152"/>
      <c r="D215" s="153"/>
      <c r="F215" s="22" t="str">
        <f>F216</f>
        <v>2</v>
      </c>
    </row>
    <row r="216" spans="1:7" s="27" customFormat="1" ht="16.149999999999999" customHeight="1" x14ac:dyDescent="0.25">
      <c r="A216" s="107"/>
      <c r="B216" s="34" t="s">
        <v>5</v>
      </c>
      <c r="C216" s="149" t="s">
        <v>283</v>
      </c>
      <c r="D216" s="149"/>
      <c r="E216" s="27" t="s">
        <v>351</v>
      </c>
      <c r="F216" s="95" t="str">
        <f>IFERROR(IF(F217/F218=0,"0",IF(F217/F218&lt;=0.05,"0,25",IF(F217/F218&lt;=0.1,"0,5",IF(F217/F218&lt;=0.15,"1",IF(F217/F218&lt;=0.2,"1,5",IF(F217/F218&gt;0.2,"2")))))),0)</f>
        <v>2</v>
      </c>
    </row>
    <row r="217" spans="1:7" s="27" customFormat="1" ht="16.149999999999999" customHeight="1" x14ac:dyDescent="0.25">
      <c r="A217" s="107"/>
      <c r="B217" s="42"/>
      <c r="C217" s="150" t="s">
        <v>367</v>
      </c>
      <c r="D217" s="150"/>
      <c r="F217" s="22">
        <v>1800000000</v>
      </c>
    </row>
    <row r="218" spans="1:7" s="27" customFormat="1" ht="16.149999999999999" customHeight="1" x14ac:dyDescent="0.25">
      <c r="A218" s="107"/>
      <c r="B218" s="42"/>
      <c r="C218" s="150" t="s">
        <v>105</v>
      </c>
      <c r="D218" s="150"/>
      <c r="F218" s="22">
        <v>1800000000</v>
      </c>
    </row>
    <row r="219" spans="1:7" s="27" customFormat="1" ht="16.149999999999999" customHeight="1" x14ac:dyDescent="0.25">
      <c r="A219" s="107" t="s">
        <v>404</v>
      </c>
      <c r="B219" s="151" t="s">
        <v>339</v>
      </c>
      <c r="C219" s="152"/>
      <c r="D219" s="153"/>
      <c r="F219" s="22" t="str">
        <f>F220</f>
        <v>2</v>
      </c>
    </row>
    <row r="220" spans="1:7" s="27" customFormat="1" ht="16.149999999999999" customHeight="1" x14ac:dyDescent="0.25">
      <c r="A220" s="107"/>
      <c r="B220" s="34" t="s">
        <v>5</v>
      </c>
      <c r="C220" s="149" t="s">
        <v>284</v>
      </c>
      <c r="D220" s="149"/>
      <c r="E220" s="27" t="s">
        <v>351</v>
      </c>
      <c r="F220" s="95" t="str">
        <f>IFERROR(IF(F221/F222&lt;5,"0",IF(F221/F222&lt;15,"0,5",IF(F221/F222&lt;25,"1",IF(F221/F222&lt;30,"1,5",IF(F221/F222&lt;35,"2",IF(F221/F222&lt;45,"1,5",IF(F221/F222&lt;55,"1",IF(F221/F222&lt;60,"0,5",IF(F221/F222&gt;=60,"0"))))))))),0)</f>
        <v>2</v>
      </c>
      <c r="G220" s="27">
        <f>F221/F222</f>
        <v>34</v>
      </c>
    </row>
    <row r="221" spans="1:7" s="27" customFormat="1" ht="16.149999999999999" customHeight="1" x14ac:dyDescent="0.25">
      <c r="A221" s="107"/>
      <c r="B221" s="42"/>
      <c r="C221" s="150" t="s">
        <v>335</v>
      </c>
      <c r="D221" s="150"/>
      <c r="F221" s="22">
        <v>170</v>
      </c>
    </row>
    <row r="222" spans="1:7" s="27" customFormat="1" ht="16.149999999999999" customHeight="1" x14ac:dyDescent="0.25">
      <c r="A222" s="107"/>
      <c r="B222" s="42"/>
      <c r="C222" s="150" t="s">
        <v>336</v>
      </c>
      <c r="D222" s="150"/>
      <c r="F222" s="22">
        <v>5</v>
      </c>
    </row>
    <row r="223" spans="1:7" s="27" customFormat="1" ht="21" customHeight="1" x14ac:dyDescent="0.25">
      <c r="A223" s="107" t="s">
        <v>405</v>
      </c>
      <c r="B223" s="151" t="s">
        <v>338</v>
      </c>
      <c r="C223" s="152"/>
      <c r="D223" s="153"/>
      <c r="F223" s="22" t="str">
        <f>F224</f>
        <v>1</v>
      </c>
    </row>
    <row r="224" spans="1:7" s="27" customFormat="1" ht="31.9" customHeight="1" x14ac:dyDescent="0.25">
      <c r="A224" s="107"/>
      <c r="B224" s="34" t="s">
        <v>5</v>
      </c>
      <c r="C224" s="149" t="s">
        <v>285</v>
      </c>
      <c r="D224" s="149"/>
      <c r="E224" s="27" t="s">
        <v>351</v>
      </c>
      <c r="F224" s="95" t="str">
        <f>IFERROR(IF((F225/F226)*100&lt;=0.01,"0",IF((F225/F226)*100&lt;=0.02,"0,1",IF((F225/F226)*100&lt;0.03,"0,2",IF((F225/F226)&lt;=0.04,"0,4",IF((F225/F226)*100&lt;0.05,"0,6",IF((F225/F226)&lt;=0.06,"0,8",IF(F225/F226&gt;0.06,"1"))))))),0)</f>
        <v>1</v>
      </c>
    </row>
    <row r="225" spans="1:6" s="27" customFormat="1" ht="16.149999999999999" customHeight="1" x14ac:dyDescent="0.25">
      <c r="A225" s="107"/>
      <c r="B225" s="42"/>
      <c r="C225" s="150" t="s">
        <v>337</v>
      </c>
      <c r="D225" s="150"/>
      <c r="F225" s="22">
        <v>2000000</v>
      </c>
    </row>
    <row r="226" spans="1:6" s="27" customFormat="1" ht="16.149999999999999" customHeight="1" x14ac:dyDescent="0.25">
      <c r="A226" s="107"/>
      <c r="B226" s="42"/>
      <c r="C226" s="150" t="s">
        <v>105</v>
      </c>
      <c r="D226" s="150"/>
      <c r="F226" s="22">
        <v>20000000</v>
      </c>
    </row>
    <row r="227" spans="1:6" s="27" customFormat="1" ht="16.149999999999999" customHeight="1" x14ac:dyDescent="0.25">
      <c r="A227" s="107" t="s">
        <v>406</v>
      </c>
      <c r="B227" s="151" t="s">
        <v>342</v>
      </c>
      <c r="C227" s="152"/>
      <c r="D227" s="153"/>
      <c r="F227" s="22" t="str">
        <f>F228</f>
        <v>1</v>
      </c>
    </row>
    <row r="228" spans="1:6" s="27" customFormat="1" ht="16.149999999999999" customHeight="1" x14ac:dyDescent="0.25">
      <c r="A228" s="50"/>
      <c r="B228" s="34" t="s">
        <v>5</v>
      </c>
      <c r="C228" s="149" t="s">
        <v>286</v>
      </c>
      <c r="D228" s="149"/>
      <c r="E228" s="27" t="s">
        <v>351</v>
      </c>
      <c r="F228" s="95" t="str">
        <f>IFERROR(IF(F229/F230=0,"0",IF(F229/F230&lt;=0.01,"0,2",IF(F229/F230&lt;=0.02,"0,3",IF(F229/F230&lt;=0.03,"0,4",IF(F229/F230&lt;=0.04,"0,5",IF(F229/F230&lt;=0.05,"0,6",IF(F229/F230&lt;=0.06,"0,7",IF(F229/F230&lt;=0.07,"0,8",IF(F229/F230&lt;=0.08,"0,9",IF(F229/F230&gt;0.08,"1")))))))))),0)</f>
        <v>1</v>
      </c>
    </row>
    <row r="229" spans="1:6" s="27" customFormat="1" ht="16.149999999999999" customHeight="1" x14ac:dyDescent="0.25">
      <c r="A229" s="50"/>
      <c r="B229" s="42"/>
      <c r="C229" s="150" t="s">
        <v>106</v>
      </c>
      <c r="D229" s="150"/>
      <c r="F229" s="22">
        <v>2000000</v>
      </c>
    </row>
    <row r="230" spans="1:6" s="27" customFormat="1" ht="16.149999999999999" customHeight="1" x14ac:dyDescent="0.25">
      <c r="A230" s="50"/>
      <c r="B230" s="42"/>
      <c r="C230" s="150" t="s">
        <v>343</v>
      </c>
      <c r="D230" s="150"/>
      <c r="F230" s="22">
        <v>8000000</v>
      </c>
    </row>
    <row r="231" spans="1:6" s="27" customFormat="1" ht="26.45" customHeight="1" x14ac:dyDescent="0.25">
      <c r="A231" s="50" t="s">
        <v>72</v>
      </c>
      <c r="B231" s="127" t="s">
        <v>73</v>
      </c>
      <c r="C231" s="127"/>
      <c r="D231" s="127"/>
      <c r="F231" s="22"/>
    </row>
    <row r="232" spans="1:6" s="27" customFormat="1" ht="18" customHeight="1" x14ac:dyDescent="0.25">
      <c r="A232" s="107" t="s">
        <v>402</v>
      </c>
      <c r="B232" s="151" t="s">
        <v>344</v>
      </c>
      <c r="C232" s="152"/>
      <c r="D232" s="153"/>
      <c r="F232" s="22" t="str">
        <f>F233</f>
        <v>2</v>
      </c>
    </row>
    <row r="233" spans="1:6" s="27" customFormat="1" ht="16.149999999999999" customHeight="1" x14ac:dyDescent="0.25">
      <c r="A233" s="107"/>
      <c r="B233" s="34" t="s">
        <v>5</v>
      </c>
      <c r="C233" s="149" t="s">
        <v>287</v>
      </c>
      <c r="D233" s="149"/>
      <c r="E233" s="27" t="s">
        <v>351</v>
      </c>
      <c r="F233" s="95" t="str">
        <f>IFERROR(IF(F234/F235&lt;0.4,"0",IF(F234/F235&lt;0.5,"0,5",IF(F234/F235&lt;0.6,"1",IF(F234/F235&lt;0.8,"1,5",IF(F234/F235&gt;=0.8,"2"))))),0)</f>
        <v>2</v>
      </c>
    </row>
    <row r="234" spans="1:6" s="27" customFormat="1" ht="16.149999999999999" customHeight="1" x14ac:dyDescent="0.25">
      <c r="A234" s="107"/>
      <c r="B234" s="42"/>
      <c r="C234" s="150" t="s">
        <v>107</v>
      </c>
      <c r="D234" s="150"/>
      <c r="F234" s="22">
        <v>4000000</v>
      </c>
    </row>
    <row r="235" spans="1:6" s="27" customFormat="1" ht="16.149999999999999" customHeight="1" x14ac:dyDescent="0.25">
      <c r="A235" s="107"/>
      <c r="B235" s="42"/>
      <c r="C235" s="150" t="s">
        <v>109</v>
      </c>
      <c r="D235" s="150"/>
      <c r="F235" s="22">
        <v>2000000</v>
      </c>
    </row>
    <row r="236" spans="1:6" s="27" customFormat="1" ht="16.149999999999999" customHeight="1" x14ac:dyDescent="0.25">
      <c r="A236" s="107" t="s">
        <v>403</v>
      </c>
      <c r="B236" s="151" t="s">
        <v>345</v>
      </c>
      <c r="C236" s="152"/>
      <c r="D236" s="153"/>
      <c r="F236" s="22" t="str">
        <f>F237</f>
        <v>2</v>
      </c>
    </row>
    <row r="237" spans="1:6" s="27" customFormat="1" ht="16.149999999999999" customHeight="1" x14ac:dyDescent="0.25">
      <c r="A237" s="50"/>
      <c r="B237" s="34" t="s">
        <v>5</v>
      </c>
      <c r="C237" s="149" t="s">
        <v>288</v>
      </c>
      <c r="D237" s="149"/>
      <c r="E237" s="27" t="s">
        <v>351</v>
      </c>
      <c r="F237" s="95" t="str">
        <f>IFERROR(IF(F238/F239=0,"0",IF(F238/F239&lt;=1.2,"0,25",IF(F238/F239&lt;=2.4,"0,5",IF(F238/F239&lt;=3.6,"1",IF(F238/F239&lt;=4.8,"1,5",IF(F238/F239&lt;=6,"1,75",IF(F238/F239&gt;6,"2"))))))),0)</f>
        <v>2</v>
      </c>
    </row>
    <row r="238" spans="1:6" s="27" customFormat="1" ht="16.149999999999999" customHeight="1" x14ac:dyDescent="0.25">
      <c r="A238" s="50"/>
      <c r="B238" s="42"/>
      <c r="C238" s="150" t="s">
        <v>108</v>
      </c>
      <c r="D238" s="150"/>
      <c r="F238" s="22">
        <v>100000000</v>
      </c>
    </row>
    <row r="239" spans="1:6" s="27" customFormat="1" ht="16.149999999999999" customHeight="1" x14ac:dyDescent="0.25">
      <c r="A239" s="50"/>
      <c r="B239" s="42"/>
      <c r="C239" s="150" t="s">
        <v>109</v>
      </c>
      <c r="D239" s="150"/>
      <c r="F239" s="22">
        <v>2000000</v>
      </c>
    </row>
    <row r="240" spans="1:6" s="27" customFormat="1" ht="27.6" customHeight="1" x14ac:dyDescent="0.25">
      <c r="A240" s="50" t="s">
        <v>76</v>
      </c>
      <c r="B240" s="127" t="s">
        <v>346</v>
      </c>
      <c r="C240" s="127"/>
      <c r="D240" s="127"/>
      <c r="F240" s="22">
        <v>0</v>
      </c>
    </row>
    <row r="241" spans="1:6" s="27" customFormat="1" ht="22.15" customHeight="1" x14ac:dyDescent="0.25">
      <c r="A241" s="107" t="s">
        <v>402</v>
      </c>
      <c r="B241" s="151" t="s">
        <v>78</v>
      </c>
      <c r="C241" s="152"/>
      <c r="D241" s="153"/>
      <c r="F241" s="22" t="str">
        <f>F242</f>
        <v>2</v>
      </c>
    </row>
    <row r="242" spans="1:6" s="27" customFormat="1" ht="16.149999999999999" customHeight="1" x14ac:dyDescent="0.25">
      <c r="A242" s="107"/>
      <c r="B242" s="34" t="s">
        <v>5</v>
      </c>
      <c r="C242" s="149" t="s">
        <v>289</v>
      </c>
      <c r="D242" s="149"/>
      <c r="E242" s="27" t="s">
        <v>351</v>
      </c>
      <c r="F242" s="95" t="str">
        <f>IFERROR(IF(F243/F244&lt;0.1,"2",IF(F243/F244&lt;=0.1,"1,5",IF(F243/F244&lt;=0.2,"1",IF(F243/F244&lt;=0.3,"0,5",IF(F243/F244&gt;=0.5,"0"))))),0)</f>
        <v>2</v>
      </c>
    </row>
    <row r="243" spans="1:6" s="27" customFormat="1" ht="16.149999999999999" customHeight="1" x14ac:dyDescent="0.25">
      <c r="A243" s="107"/>
      <c r="B243" s="42"/>
      <c r="C243" s="150" t="s">
        <v>110</v>
      </c>
      <c r="D243" s="150"/>
      <c r="F243" s="22">
        <v>200000000</v>
      </c>
    </row>
    <row r="244" spans="1:6" s="27" customFormat="1" ht="16.149999999999999" customHeight="1" x14ac:dyDescent="0.25">
      <c r="A244" s="107"/>
      <c r="B244" s="42"/>
      <c r="C244" s="150" t="s">
        <v>111</v>
      </c>
      <c r="D244" s="150"/>
      <c r="F244" s="22">
        <v>4000000000</v>
      </c>
    </row>
    <row r="245" spans="1:6" s="27" customFormat="1" ht="16.149999999999999" customHeight="1" x14ac:dyDescent="0.25">
      <c r="A245" s="107" t="s">
        <v>403</v>
      </c>
      <c r="B245" s="151" t="s">
        <v>79</v>
      </c>
      <c r="C245" s="152"/>
      <c r="D245" s="153"/>
      <c r="F245" s="22" t="str">
        <f>F246</f>
        <v>2</v>
      </c>
    </row>
    <row r="246" spans="1:6" s="27" customFormat="1" ht="16.149999999999999" customHeight="1" x14ac:dyDescent="0.25">
      <c r="A246" s="50"/>
      <c r="B246" s="34" t="s">
        <v>5</v>
      </c>
      <c r="C246" s="149" t="s">
        <v>290</v>
      </c>
      <c r="D246" s="149"/>
      <c r="E246" s="27" t="s">
        <v>351</v>
      </c>
      <c r="F246" s="95" t="str">
        <f>IFERROR(IF(F247/F248&lt;=0.25,"2",IF(F247/F248&lt;=0.5,"1,5",IF(F247/F248&lt;=0.75,"1",IF(F247/F248&lt;=1,"0,5",IF(F247/F248&gt;1,"0"))))),0)</f>
        <v>2</v>
      </c>
    </row>
    <row r="247" spans="1:6" s="27" customFormat="1" ht="16.149999999999999" customHeight="1" x14ac:dyDescent="0.25">
      <c r="A247" s="50"/>
      <c r="B247" s="42"/>
      <c r="C247" s="150" t="s">
        <v>110</v>
      </c>
      <c r="D247" s="150"/>
      <c r="F247" s="22">
        <v>200000000</v>
      </c>
    </row>
    <row r="248" spans="1:6" s="27" customFormat="1" ht="16.149999999999999" customHeight="1" x14ac:dyDescent="0.25">
      <c r="A248" s="50"/>
      <c r="B248" s="42"/>
      <c r="C248" s="150" t="s">
        <v>400</v>
      </c>
      <c r="D248" s="150"/>
      <c r="F248" s="22">
        <v>800000000</v>
      </c>
    </row>
    <row r="249" spans="1:6" s="27" customFormat="1" ht="29.45" customHeight="1" x14ac:dyDescent="0.25">
      <c r="A249" s="50" t="s">
        <v>80</v>
      </c>
      <c r="B249" s="127" t="s">
        <v>81</v>
      </c>
      <c r="C249" s="127"/>
      <c r="D249" s="127"/>
      <c r="F249" s="22"/>
    </row>
    <row r="250" spans="1:6" s="27" customFormat="1" ht="29.45" customHeight="1" x14ac:dyDescent="0.25">
      <c r="A250" s="107" t="s">
        <v>402</v>
      </c>
      <c r="B250" s="151" t="s">
        <v>348</v>
      </c>
      <c r="C250" s="152"/>
      <c r="D250" s="153"/>
      <c r="F250" s="22" t="str">
        <f>F251</f>
        <v>2</v>
      </c>
    </row>
    <row r="251" spans="1:6" s="27" customFormat="1" ht="31.9" customHeight="1" x14ac:dyDescent="0.25">
      <c r="A251" s="107"/>
      <c r="B251" s="34" t="s">
        <v>5</v>
      </c>
      <c r="C251" s="149" t="s">
        <v>347</v>
      </c>
      <c r="D251" s="149"/>
      <c r="E251" s="27" t="s">
        <v>351</v>
      </c>
      <c r="F251" s="95" t="str">
        <f>IFERROR(IF(F252/F253&lt;=0.025,"0",IF(F252/F253&lt;=0.05,"0,1",IF(F252/F253&lt;=0.1,"0,25",IF(F252/F253&lt;=0.15,"0,5",IF(F252/F253&lt;=0.2,"0,75",IF(F252/F253&lt;=0.25,"1",IF(F252/F253&lt;=0.3,"1,25",IF(F252/F253&lt;=0.35,"1,5",IF(F252/F253&lt;=0.4,"1,75",IF(F252/F253&gt;0.4,"2")))))))))),0)</f>
        <v>2</v>
      </c>
    </row>
    <row r="252" spans="1:6" s="27" customFormat="1" ht="16.149999999999999" customHeight="1" x14ac:dyDescent="0.25">
      <c r="A252" s="107"/>
      <c r="B252" s="42"/>
      <c r="C252" s="150" t="s">
        <v>112</v>
      </c>
      <c r="D252" s="150"/>
      <c r="F252" s="22">
        <v>10000000</v>
      </c>
    </row>
    <row r="253" spans="1:6" s="27" customFormat="1" ht="16.149999999999999" customHeight="1" x14ac:dyDescent="0.25">
      <c r="A253" s="107"/>
      <c r="B253" s="42"/>
      <c r="C253" s="150" t="s">
        <v>113</v>
      </c>
      <c r="D253" s="150"/>
      <c r="F253" s="22">
        <v>8000000</v>
      </c>
    </row>
    <row r="254" spans="1:6" s="27" customFormat="1" ht="31.9" customHeight="1" x14ac:dyDescent="0.25">
      <c r="A254" s="107" t="s">
        <v>403</v>
      </c>
      <c r="B254" s="151" t="s">
        <v>349</v>
      </c>
      <c r="C254" s="152"/>
      <c r="D254" s="153"/>
      <c r="F254" s="22" t="str">
        <f>F255</f>
        <v>2</v>
      </c>
    </row>
    <row r="255" spans="1:6" s="27" customFormat="1" ht="33" customHeight="1" x14ac:dyDescent="0.25">
      <c r="A255" s="50"/>
      <c r="B255" s="34" t="s">
        <v>5</v>
      </c>
      <c r="C255" s="149" t="s">
        <v>368</v>
      </c>
      <c r="D255" s="149"/>
      <c r="E255" s="27" t="s">
        <v>351</v>
      </c>
      <c r="F255" s="95" t="str">
        <f>IFERROR(IF(F256/F257&lt;=0.4,"0",IF(F256/F257&lt;=0.6,"0,5",IF(F256/F257&lt;=0.8,"1",IF(F256/F257&lt;=1,"1,5",IF(F256/F257&gt;1,"2"))))),0)</f>
        <v>2</v>
      </c>
    </row>
    <row r="256" spans="1:6" s="27" customFormat="1" ht="19.899999999999999" customHeight="1" x14ac:dyDescent="0.25">
      <c r="A256" s="50"/>
      <c r="B256" s="42"/>
      <c r="C256" s="150" t="s">
        <v>112</v>
      </c>
      <c r="D256" s="150"/>
      <c r="F256" s="22">
        <v>10000000</v>
      </c>
    </row>
    <row r="257" spans="1:6" s="27" customFormat="1" ht="16.149999999999999" customHeight="1" x14ac:dyDescent="0.25">
      <c r="A257" s="50"/>
      <c r="B257" s="42"/>
      <c r="C257" s="150" t="s">
        <v>114</v>
      </c>
      <c r="D257" s="150"/>
      <c r="F257" s="22">
        <v>8000000</v>
      </c>
    </row>
    <row r="258" spans="1:6" s="27" customFormat="1" ht="16.149999999999999" customHeight="1" x14ac:dyDescent="0.25">
      <c r="A258"/>
      <c r="B258"/>
      <c r="C258"/>
      <c r="D258"/>
      <c r="F258" s="86"/>
    </row>
    <row r="259" spans="1:6" s="27" customFormat="1" ht="16.149999999999999" customHeight="1" x14ac:dyDescent="0.25">
      <c r="A259"/>
      <c r="B259"/>
      <c r="C259"/>
      <c r="D259"/>
      <c r="F259" s="86"/>
    </row>
    <row r="260" spans="1:6" s="27" customFormat="1" ht="16.149999999999999" customHeight="1" x14ac:dyDescent="0.25">
      <c r="A260"/>
      <c r="B260"/>
      <c r="C260"/>
      <c r="D260"/>
      <c r="F260" s="86"/>
    </row>
    <row r="261" spans="1:6" s="27" customFormat="1" ht="16.149999999999999" customHeight="1" x14ac:dyDescent="0.25">
      <c r="A261"/>
      <c r="B261"/>
      <c r="C261"/>
      <c r="D261"/>
      <c r="F261" s="86"/>
    </row>
    <row r="262" spans="1:6" s="27" customFormat="1" ht="16.149999999999999" customHeight="1" x14ac:dyDescent="0.25">
      <c r="A262"/>
      <c r="B262"/>
      <c r="C262"/>
      <c r="D262"/>
      <c r="F262" s="86"/>
    </row>
    <row r="263" spans="1:6" s="27" customFormat="1" ht="16.149999999999999" customHeight="1" x14ac:dyDescent="0.25">
      <c r="A263"/>
      <c r="B263"/>
      <c r="C263"/>
      <c r="D263"/>
      <c r="F263" s="86"/>
    </row>
    <row r="264" spans="1:6" s="27" customFormat="1" ht="16.149999999999999" customHeight="1" x14ac:dyDescent="0.25">
      <c r="A264"/>
      <c r="B264"/>
      <c r="C264"/>
      <c r="D264"/>
      <c r="F264" s="86"/>
    </row>
    <row r="265" spans="1:6" s="27" customFormat="1" ht="16.149999999999999" customHeight="1" x14ac:dyDescent="0.25">
      <c r="A265"/>
      <c r="B265"/>
      <c r="C265"/>
      <c r="D265"/>
      <c r="F265" s="86"/>
    </row>
    <row r="266" spans="1:6" s="27" customFormat="1" ht="16.149999999999999" customHeight="1" x14ac:dyDescent="0.25">
      <c r="A266"/>
      <c r="B266"/>
      <c r="C266"/>
      <c r="D266"/>
      <c r="F266" s="86"/>
    </row>
    <row r="267" spans="1:6" s="27" customFormat="1" ht="16.149999999999999" customHeight="1" x14ac:dyDescent="0.25">
      <c r="A267"/>
      <c r="B267"/>
      <c r="C267"/>
      <c r="D267"/>
      <c r="F267" s="86"/>
    </row>
    <row r="268" spans="1:6" s="27" customFormat="1" ht="16.149999999999999" customHeight="1" x14ac:dyDescent="0.25">
      <c r="A268"/>
      <c r="B268"/>
      <c r="C268"/>
      <c r="D268"/>
      <c r="F268" s="86"/>
    </row>
    <row r="269" spans="1:6" s="27" customFormat="1" ht="16.149999999999999" customHeight="1" x14ac:dyDescent="0.25">
      <c r="A269"/>
      <c r="B269"/>
      <c r="C269"/>
      <c r="D269"/>
      <c r="F269" s="86"/>
    </row>
    <row r="270" spans="1:6" s="27" customFormat="1" ht="16.149999999999999" customHeight="1" x14ac:dyDescent="0.25">
      <c r="A270"/>
      <c r="B270"/>
      <c r="C270"/>
      <c r="D270"/>
      <c r="F270" s="86"/>
    </row>
    <row r="271" spans="1:6" s="27" customFormat="1" ht="16.149999999999999" customHeight="1" x14ac:dyDescent="0.25">
      <c r="A271"/>
      <c r="B271"/>
      <c r="C271"/>
      <c r="D271"/>
      <c r="F271" s="86"/>
    </row>
    <row r="272" spans="1:6" s="27" customFormat="1" ht="16.149999999999999" customHeight="1" x14ac:dyDescent="0.25">
      <c r="A272"/>
      <c r="B272"/>
      <c r="C272"/>
      <c r="D272"/>
      <c r="F272" s="86"/>
    </row>
    <row r="273" spans="1:6" s="27" customFormat="1" ht="16.149999999999999" customHeight="1" x14ac:dyDescent="0.25">
      <c r="A273"/>
      <c r="B273"/>
      <c r="C273"/>
      <c r="D273"/>
      <c r="F273" s="86"/>
    </row>
    <row r="274" spans="1:6" s="27" customFormat="1" ht="14.45" customHeight="1" x14ac:dyDescent="0.25">
      <c r="A274"/>
      <c r="B274"/>
      <c r="C274"/>
      <c r="D274"/>
      <c r="F274" s="86"/>
    </row>
    <row r="276" spans="1:6" ht="15" customHeight="1" x14ac:dyDescent="0.25"/>
    <row r="279" spans="1:6" s="4" customFormat="1" ht="14.45" customHeight="1" x14ac:dyDescent="0.25">
      <c r="A279"/>
      <c r="B279"/>
      <c r="C279"/>
      <c r="D279"/>
      <c r="F279" s="85"/>
    </row>
    <row r="280" spans="1:6" ht="28.9" customHeight="1" x14ac:dyDescent="0.25"/>
    <row r="281" spans="1:6" ht="28.9" customHeight="1" x14ac:dyDescent="0.25"/>
    <row r="282" spans="1:6" s="4" customFormat="1" ht="14.45" customHeight="1" x14ac:dyDescent="0.25">
      <c r="A282"/>
      <c r="B282"/>
      <c r="C282"/>
      <c r="D282"/>
      <c r="F282" s="85"/>
    </row>
    <row r="283" spans="1:6" ht="28.9" customHeight="1" x14ac:dyDescent="0.25"/>
    <row r="284" spans="1:6" ht="28.9" customHeight="1" x14ac:dyDescent="0.25"/>
    <row r="285" spans="1:6" s="4" customFormat="1" ht="14.45" customHeight="1" x14ac:dyDescent="0.25">
      <c r="A285"/>
      <c r="B285"/>
      <c r="C285"/>
      <c r="D285"/>
      <c r="F285" s="85"/>
    </row>
    <row r="286" spans="1:6" ht="14.45" customHeight="1" x14ac:dyDescent="0.25"/>
    <row r="287" spans="1:6" ht="28.9" customHeight="1" x14ac:dyDescent="0.25"/>
    <row r="288" spans="1:6" s="4" customFormat="1" ht="14.45" customHeight="1" x14ac:dyDescent="0.25">
      <c r="A288"/>
      <c r="B288"/>
      <c r="C288"/>
      <c r="D288"/>
      <c r="F288" s="85"/>
    </row>
    <row r="289" spans="1:6" ht="28.9" customHeight="1" x14ac:dyDescent="0.25"/>
    <row r="290" spans="1:6" ht="28.9" customHeight="1" x14ac:dyDescent="0.25"/>
    <row r="291" spans="1:6" s="4" customFormat="1" ht="14.45" customHeight="1" x14ac:dyDescent="0.25">
      <c r="A291"/>
      <c r="B291"/>
      <c r="C291"/>
      <c r="D291"/>
      <c r="F291" s="85"/>
    </row>
    <row r="292" spans="1:6" ht="28.9" customHeight="1" x14ac:dyDescent="0.25"/>
    <row r="293" spans="1:6" ht="28.9" customHeight="1" x14ac:dyDescent="0.25"/>
    <row r="294" spans="1:6" s="4" customFormat="1" ht="14.45" customHeight="1" x14ac:dyDescent="0.25">
      <c r="A294"/>
      <c r="B294"/>
      <c r="C294"/>
      <c r="D294"/>
      <c r="F294" s="85"/>
    </row>
    <row r="295" spans="1:6" ht="14.45" customHeight="1" x14ac:dyDescent="0.25"/>
    <row r="296" spans="1:6" ht="28.9" customHeight="1" x14ac:dyDescent="0.25"/>
    <row r="297" spans="1:6" s="4" customFormat="1" ht="14.45" customHeight="1" x14ac:dyDescent="0.25">
      <c r="A297"/>
      <c r="B297"/>
      <c r="C297"/>
      <c r="D297"/>
      <c r="F297" s="85"/>
    </row>
    <row r="298" spans="1:6" ht="14.45" customHeight="1" x14ac:dyDescent="0.25"/>
    <row r="299" spans="1:6" ht="28.9" customHeight="1" x14ac:dyDescent="0.25"/>
    <row r="300" spans="1:6" s="4" customFormat="1" ht="14.45" customHeight="1" x14ac:dyDescent="0.25">
      <c r="A300"/>
      <c r="B300"/>
      <c r="C300"/>
      <c r="D300"/>
      <c r="F300" s="85"/>
    </row>
    <row r="301" spans="1:6" ht="28.9" customHeight="1" x14ac:dyDescent="0.25"/>
    <row r="302" spans="1:6" ht="28.9" customHeight="1" x14ac:dyDescent="0.25"/>
    <row r="303" spans="1:6" s="4" customFormat="1" ht="14.45" customHeight="1" x14ac:dyDescent="0.25">
      <c r="A303"/>
      <c r="B303"/>
      <c r="C303"/>
      <c r="D303"/>
      <c r="F303" s="85"/>
    </row>
    <row r="304" spans="1:6" ht="28.9" customHeight="1" x14ac:dyDescent="0.25"/>
    <row r="305" spans="1:6" ht="28.9" customHeight="1" x14ac:dyDescent="0.25"/>
    <row r="306" spans="1:6" ht="14.45" customHeight="1" x14ac:dyDescent="0.25"/>
    <row r="307" spans="1:6" ht="14.45" customHeight="1" x14ac:dyDescent="0.25"/>
    <row r="308" spans="1:6" s="4" customFormat="1" ht="14.45" customHeight="1" x14ac:dyDescent="0.25">
      <c r="A308"/>
      <c r="B308"/>
      <c r="C308"/>
      <c r="D308"/>
      <c r="F308" s="85"/>
    </row>
    <row r="309" spans="1:6" ht="14.45" customHeight="1" x14ac:dyDescent="0.25"/>
    <row r="310" spans="1:6" ht="14.45" customHeight="1" x14ac:dyDescent="0.25"/>
    <row r="311" spans="1:6" s="4" customFormat="1" ht="14.45" customHeight="1" x14ac:dyDescent="0.25">
      <c r="A311"/>
      <c r="B311"/>
      <c r="C311"/>
      <c r="D311"/>
      <c r="F311" s="85"/>
    </row>
    <row r="312" spans="1:6" ht="28.9" customHeight="1" x14ac:dyDescent="0.25"/>
    <row r="313" spans="1:6" ht="14.45" customHeight="1" x14ac:dyDescent="0.25"/>
    <row r="314" spans="1:6" s="4" customFormat="1" ht="14.45" customHeight="1" x14ac:dyDescent="0.25">
      <c r="A314"/>
      <c r="B314"/>
      <c r="C314"/>
      <c r="D314"/>
      <c r="F314" s="85"/>
    </row>
    <row r="315" spans="1:6" ht="14.45" customHeight="1" x14ac:dyDescent="0.25"/>
    <row r="316" spans="1:6" ht="14.45" customHeight="1" x14ac:dyDescent="0.25"/>
    <row r="317" spans="1:6" s="4" customFormat="1" ht="14.45" customHeight="1" x14ac:dyDescent="0.25">
      <c r="A317"/>
      <c r="B317"/>
      <c r="C317"/>
      <c r="D317"/>
      <c r="F317" s="85"/>
    </row>
    <row r="318" spans="1:6" ht="14.45" customHeight="1" x14ac:dyDescent="0.25"/>
    <row r="319" spans="1:6" ht="14.45" customHeight="1" x14ac:dyDescent="0.25"/>
    <row r="320" spans="1:6" s="4" customFormat="1" ht="14.45" customHeight="1" x14ac:dyDescent="0.25">
      <c r="A320"/>
      <c r="B320"/>
      <c r="C320"/>
      <c r="D320"/>
      <c r="F320" s="85"/>
    </row>
    <row r="321" spans="1:6" ht="28.9" customHeight="1" x14ac:dyDescent="0.25"/>
    <row r="323" spans="1:6" s="4" customFormat="1" x14ac:dyDescent="0.25">
      <c r="A323"/>
      <c r="B323"/>
      <c r="C323"/>
      <c r="D323"/>
      <c r="F323" s="85"/>
    </row>
    <row r="326" spans="1:6" s="4" customFormat="1" x14ac:dyDescent="0.25">
      <c r="A326"/>
      <c r="B326"/>
      <c r="C326"/>
      <c r="D326"/>
      <c r="F326" s="85"/>
    </row>
    <row r="328" spans="1:6" ht="14.45" customHeight="1" x14ac:dyDescent="0.25"/>
    <row r="329" spans="1:6" s="4" customFormat="1" ht="14.45" customHeight="1" x14ac:dyDescent="0.25">
      <c r="A329"/>
      <c r="B329"/>
      <c r="C329"/>
      <c r="D329"/>
      <c r="F329" s="85"/>
    </row>
    <row r="330" spans="1:6" ht="28.9" customHeight="1" x14ac:dyDescent="0.25"/>
    <row r="331" spans="1:6" ht="28.9" customHeight="1" x14ac:dyDescent="0.25"/>
    <row r="332" spans="1:6" s="4" customFormat="1" x14ac:dyDescent="0.25">
      <c r="A332"/>
      <c r="B332"/>
      <c r="C332"/>
      <c r="D332"/>
      <c r="F332" s="85"/>
    </row>
    <row r="333" spans="1:6" ht="28.9" customHeight="1" x14ac:dyDescent="0.25"/>
    <row r="334" spans="1:6" ht="14.45" customHeight="1" x14ac:dyDescent="0.25"/>
    <row r="335" spans="1:6" s="4" customFormat="1" ht="14.45" customHeight="1" x14ac:dyDescent="0.25">
      <c r="A335"/>
      <c r="B335"/>
      <c r="C335"/>
      <c r="D335"/>
      <c r="F335" s="85"/>
    </row>
    <row r="337" spans="1:6" ht="33" customHeight="1" x14ac:dyDescent="0.25"/>
    <row r="338" spans="1:6" s="4" customFormat="1" ht="14.45" customHeight="1" x14ac:dyDescent="0.25">
      <c r="A338"/>
      <c r="B338"/>
      <c r="C338"/>
      <c r="D338"/>
      <c r="F338" s="85"/>
    </row>
    <row r="340" spans="1:6" ht="28.9" customHeight="1" x14ac:dyDescent="0.25"/>
    <row r="341" spans="1:6" ht="14.45" customHeight="1" x14ac:dyDescent="0.25"/>
    <row r="342" spans="1:6" ht="14.45" customHeight="1" x14ac:dyDescent="0.25"/>
    <row r="343" spans="1:6" ht="14.45" customHeight="1" x14ac:dyDescent="0.25"/>
    <row r="344" spans="1:6" ht="14.45" customHeight="1" x14ac:dyDescent="0.25"/>
    <row r="346" spans="1:6" ht="43.15" customHeight="1" x14ac:dyDescent="0.25"/>
    <row r="347" spans="1:6" ht="14.45" customHeight="1" x14ac:dyDescent="0.25"/>
    <row r="348" spans="1:6" s="27" customFormat="1" ht="43.15" customHeight="1" x14ac:dyDescent="0.25">
      <c r="A348"/>
      <c r="B348"/>
      <c r="C348"/>
      <c r="D348"/>
      <c r="F348" s="86"/>
    </row>
    <row r="350" spans="1:6" s="27" customFormat="1" x14ac:dyDescent="0.25">
      <c r="A350"/>
      <c r="B350"/>
      <c r="C350"/>
      <c r="D350"/>
      <c r="F350" s="86"/>
    </row>
    <row r="351" spans="1:6" s="27" customFormat="1" x14ac:dyDescent="0.25">
      <c r="A351"/>
      <c r="B351"/>
      <c r="C351"/>
      <c r="D351"/>
      <c r="F351" s="86"/>
    </row>
    <row r="353" spans="1:6" s="27" customFormat="1" ht="28.9" customHeight="1" x14ac:dyDescent="0.25">
      <c r="A353"/>
      <c r="B353"/>
      <c r="C353"/>
      <c r="D353"/>
      <c r="F353" s="86"/>
    </row>
    <row r="354" spans="1:6" ht="28.9" customHeight="1" x14ac:dyDescent="0.25"/>
    <row r="355" spans="1:6" s="27" customFormat="1" ht="14.45" customHeight="1" x14ac:dyDescent="0.25">
      <c r="A355"/>
      <c r="B355"/>
      <c r="C355"/>
      <c r="D355"/>
      <c r="F355" s="86"/>
    </row>
    <row r="356" spans="1:6" s="27" customFormat="1" x14ac:dyDescent="0.25">
      <c r="A356"/>
      <c r="B356"/>
      <c r="C356"/>
      <c r="D356"/>
      <c r="F356" s="86"/>
    </row>
    <row r="358" spans="1:6" s="27" customFormat="1" ht="28.9" customHeight="1" x14ac:dyDescent="0.25">
      <c r="A358"/>
      <c r="B358"/>
      <c r="C358"/>
      <c r="D358"/>
      <c r="F358" s="86"/>
    </row>
    <row r="359" spans="1:6" ht="14.45" customHeight="1" x14ac:dyDescent="0.25"/>
    <row r="360" spans="1:6" s="27" customFormat="1" ht="28.9" customHeight="1" x14ac:dyDescent="0.25">
      <c r="A360"/>
      <c r="B360"/>
      <c r="C360"/>
      <c r="D360"/>
      <c r="F360" s="86"/>
    </row>
    <row r="361" spans="1:6" ht="14.45" customHeight="1" x14ac:dyDescent="0.25"/>
    <row r="362" spans="1:6" s="27" customFormat="1" ht="28.9" customHeight="1" x14ac:dyDescent="0.25">
      <c r="A362"/>
      <c r="B362"/>
      <c r="C362"/>
      <c r="D362"/>
      <c r="F362" s="86"/>
    </row>
    <row r="363" spans="1:6" s="27" customFormat="1" ht="19.899999999999999" customHeight="1" x14ac:dyDescent="0.25">
      <c r="A363"/>
      <c r="B363"/>
      <c r="C363"/>
      <c r="D363"/>
      <c r="F363" s="86"/>
    </row>
    <row r="364" spans="1:6" ht="14.45" customHeight="1" x14ac:dyDescent="0.25"/>
    <row r="365" spans="1:6" s="27" customFormat="1" x14ac:dyDescent="0.25">
      <c r="A365"/>
      <c r="B365"/>
      <c r="C365"/>
      <c r="D365"/>
      <c r="F365" s="86"/>
    </row>
    <row r="366" spans="1:6" s="27" customFormat="1" x14ac:dyDescent="0.25">
      <c r="A366"/>
      <c r="B366"/>
      <c r="C366"/>
      <c r="D366"/>
      <c r="F366" s="86"/>
    </row>
    <row r="367" spans="1:6" ht="28.9" customHeight="1" x14ac:dyDescent="0.25"/>
    <row r="368" spans="1:6" s="27" customFormat="1" ht="28.9" customHeight="1" x14ac:dyDescent="0.25">
      <c r="A368"/>
      <c r="B368"/>
      <c r="C368"/>
      <c r="D368"/>
      <c r="F368" s="86"/>
    </row>
    <row r="369" spans="1:6" s="27" customFormat="1" ht="14.45" customHeight="1" x14ac:dyDescent="0.25">
      <c r="A369"/>
      <c r="B369"/>
      <c r="C369"/>
      <c r="D369"/>
      <c r="F369" s="86"/>
    </row>
    <row r="370" spans="1:6" ht="14.45" customHeight="1" x14ac:dyDescent="0.25"/>
    <row r="371" spans="1:6" s="27" customFormat="1" ht="14.45" customHeight="1" x14ac:dyDescent="0.25">
      <c r="A371"/>
      <c r="B371"/>
      <c r="C371"/>
      <c r="D371"/>
      <c r="F371" s="86"/>
    </row>
    <row r="372" spans="1:6" s="27" customFormat="1" ht="28.9" customHeight="1" x14ac:dyDescent="0.25">
      <c r="A372"/>
      <c r="B372"/>
      <c r="C372"/>
      <c r="D372"/>
      <c r="F372" s="86"/>
    </row>
    <row r="374" spans="1:6" s="27" customFormat="1" ht="14.45" customHeight="1" x14ac:dyDescent="0.25">
      <c r="A374"/>
      <c r="B374"/>
      <c r="C374"/>
      <c r="D374"/>
      <c r="F374" s="86"/>
    </row>
    <row r="375" spans="1:6" s="27" customFormat="1" ht="28.9" customHeight="1" x14ac:dyDescent="0.25">
      <c r="A375"/>
      <c r="B375"/>
      <c r="C375"/>
      <c r="D375"/>
      <c r="F375" s="86"/>
    </row>
    <row r="377" spans="1:6" s="27" customFormat="1" ht="28.9" customHeight="1" x14ac:dyDescent="0.25">
      <c r="A377"/>
      <c r="B377"/>
      <c r="C377"/>
      <c r="D377"/>
      <c r="F377" s="86"/>
    </row>
    <row r="378" spans="1:6" s="27" customFormat="1" x14ac:dyDescent="0.25">
      <c r="A378"/>
      <c r="B378"/>
      <c r="C378"/>
      <c r="D378"/>
      <c r="F378" s="86"/>
    </row>
    <row r="380" spans="1:6" s="27" customFormat="1" ht="28.9" customHeight="1" x14ac:dyDescent="0.25">
      <c r="A380"/>
      <c r="B380"/>
      <c r="C380"/>
      <c r="D380"/>
      <c r="F380" s="86"/>
    </row>
    <row r="381" spans="1:6" s="27" customFormat="1" x14ac:dyDescent="0.25">
      <c r="A381"/>
      <c r="B381"/>
      <c r="C381"/>
      <c r="D381"/>
      <c r="F381" s="86"/>
    </row>
    <row r="383" spans="1:6" s="27" customFormat="1" x14ac:dyDescent="0.25">
      <c r="A383"/>
      <c r="B383"/>
      <c r="C383"/>
      <c r="D383"/>
      <c r="F383" s="86"/>
    </row>
    <row r="384" spans="1:6" s="27" customFormat="1" x14ac:dyDescent="0.25">
      <c r="A384"/>
      <c r="B384"/>
      <c r="C384"/>
      <c r="D384"/>
      <c r="F384" s="86"/>
    </row>
    <row r="386" spans="1:6" s="27" customFormat="1" x14ac:dyDescent="0.25">
      <c r="A386"/>
      <c r="B386"/>
      <c r="C386"/>
      <c r="D386"/>
      <c r="F386" s="86"/>
    </row>
    <row r="387" spans="1:6" s="27" customFormat="1" x14ac:dyDescent="0.25">
      <c r="A387"/>
      <c r="B387"/>
      <c r="C387"/>
      <c r="D387"/>
      <c r="F387" s="86"/>
    </row>
    <row r="390" spans="1:6" s="4" customFormat="1" x14ac:dyDescent="0.25">
      <c r="A390"/>
      <c r="B390"/>
      <c r="C390"/>
      <c r="D390"/>
      <c r="F390" s="85"/>
    </row>
    <row r="393" spans="1:6" s="4" customFormat="1" x14ac:dyDescent="0.25">
      <c r="A393"/>
      <c r="B393"/>
      <c r="C393"/>
      <c r="D393"/>
      <c r="F393" s="85"/>
    </row>
    <row r="394" spans="1:6" ht="28.9" customHeight="1" x14ac:dyDescent="0.25"/>
    <row r="396" spans="1:6" s="4" customFormat="1" x14ac:dyDescent="0.25">
      <c r="A396"/>
      <c r="B396"/>
      <c r="C396"/>
      <c r="D396"/>
      <c r="F396" s="85"/>
    </row>
    <row r="399" spans="1:6" s="4" customFormat="1" x14ac:dyDescent="0.25">
      <c r="A399"/>
      <c r="B399"/>
      <c r="C399"/>
      <c r="D399"/>
      <c r="F399" s="85"/>
    </row>
    <row r="400" spans="1:6" ht="28.9" customHeight="1" x14ac:dyDescent="0.25"/>
    <row r="402" spans="1:6" s="4" customFormat="1" x14ac:dyDescent="0.25">
      <c r="A402"/>
      <c r="B402"/>
      <c r="C402"/>
      <c r="D402"/>
      <c r="F402" s="85"/>
    </row>
    <row r="403" spans="1:6" ht="28.9" customHeight="1" x14ac:dyDescent="0.25"/>
    <row r="405" spans="1:6" s="4" customFormat="1" x14ac:dyDescent="0.25">
      <c r="A405"/>
      <c r="B405"/>
      <c r="C405"/>
      <c r="D405"/>
      <c r="F405" s="85"/>
    </row>
    <row r="406" spans="1:6" ht="28.9" customHeight="1" x14ac:dyDescent="0.25"/>
    <row r="408" spans="1:6" s="4" customFormat="1" x14ac:dyDescent="0.25">
      <c r="A408"/>
      <c r="B408"/>
      <c r="C408"/>
      <c r="D408"/>
      <c r="F408" s="85"/>
    </row>
    <row r="409" spans="1:6" ht="28.9" customHeight="1" x14ac:dyDescent="0.25"/>
    <row r="410" spans="1:6" ht="14.45" customHeight="1" x14ac:dyDescent="0.25"/>
    <row r="411" spans="1:6" s="4" customFormat="1" x14ac:dyDescent="0.25">
      <c r="A411"/>
      <c r="B411"/>
      <c r="C411"/>
      <c r="D411"/>
      <c r="F411" s="85"/>
    </row>
    <row r="412" spans="1:6" ht="28.9" customHeight="1" x14ac:dyDescent="0.25"/>
    <row r="413" spans="1:6" ht="28.9" customHeight="1" x14ac:dyDescent="0.25"/>
    <row r="416" spans="1:6" s="4" customFormat="1" x14ac:dyDescent="0.25">
      <c r="A416"/>
      <c r="B416"/>
      <c r="C416"/>
      <c r="D416"/>
      <c r="F416" s="85"/>
    </row>
    <row r="419" spans="1:6" s="4" customFormat="1" x14ac:dyDescent="0.25">
      <c r="A419"/>
      <c r="B419"/>
      <c r="C419"/>
      <c r="D419"/>
      <c r="F419" s="85"/>
    </row>
    <row r="422" spans="1:6" s="4" customFormat="1" x14ac:dyDescent="0.25">
      <c r="A422"/>
      <c r="B422"/>
      <c r="C422"/>
      <c r="D422"/>
      <c r="F422" s="85"/>
    </row>
    <row r="424" spans="1:6" s="4" customFormat="1" ht="14.45" customHeight="1" x14ac:dyDescent="0.25">
      <c r="A424"/>
      <c r="B424"/>
      <c r="C424"/>
      <c r="D424"/>
      <c r="F424" s="85"/>
    </row>
    <row r="426" spans="1:6" s="4" customFormat="1" x14ac:dyDescent="0.25">
      <c r="A426"/>
      <c r="B426"/>
      <c r="C426"/>
      <c r="D426"/>
      <c r="F426" s="85"/>
    </row>
    <row r="428" spans="1:6" s="4" customFormat="1" x14ac:dyDescent="0.25">
      <c r="A428"/>
      <c r="B428"/>
      <c r="C428"/>
      <c r="D428"/>
      <c r="F428" s="85"/>
    </row>
    <row r="429" spans="1:6" ht="28.9" customHeight="1" x14ac:dyDescent="0.25"/>
    <row r="430" spans="1:6" ht="28.9" customHeight="1" x14ac:dyDescent="0.25"/>
    <row r="433" spans="1:6" s="4" customFormat="1" x14ac:dyDescent="0.25">
      <c r="A433"/>
      <c r="B433"/>
      <c r="C433"/>
      <c r="D433"/>
      <c r="F433" s="85"/>
    </row>
    <row r="443" spans="1:6" ht="30" customHeight="1" x14ac:dyDescent="0.25"/>
    <row r="444" spans="1:6" s="4" customFormat="1" x14ac:dyDescent="0.25">
      <c r="A444"/>
      <c r="B444"/>
      <c r="C444"/>
      <c r="D444"/>
      <c r="F444" s="85"/>
    </row>
    <row r="447" spans="1:6" s="4" customFormat="1" x14ac:dyDescent="0.25">
      <c r="A447"/>
      <c r="B447"/>
      <c r="C447"/>
      <c r="D447"/>
      <c r="F447" s="85"/>
    </row>
    <row r="450" spans="1:6" s="4" customFormat="1" x14ac:dyDescent="0.25">
      <c r="A450"/>
      <c r="B450"/>
      <c r="C450"/>
      <c r="D450"/>
      <c r="F450" s="85"/>
    </row>
    <row r="453" spans="1:6" s="4" customFormat="1" x14ac:dyDescent="0.25">
      <c r="A453"/>
      <c r="B453"/>
      <c r="C453"/>
      <c r="D453"/>
      <c r="F453" s="85"/>
    </row>
    <row r="456" spans="1:6" s="4" customFormat="1" x14ac:dyDescent="0.25">
      <c r="A456"/>
      <c r="B456"/>
      <c r="C456"/>
      <c r="D456"/>
      <c r="F456" s="85"/>
    </row>
    <row r="460" spans="1:6" ht="29.45" customHeight="1" x14ac:dyDescent="0.25"/>
    <row r="461" spans="1:6" s="4" customFormat="1" x14ac:dyDescent="0.25">
      <c r="A461"/>
      <c r="B461"/>
      <c r="C461"/>
      <c r="D461"/>
      <c r="F461" s="85"/>
    </row>
    <row r="464" spans="1:6" s="4" customFormat="1" x14ac:dyDescent="0.25">
      <c r="A464"/>
      <c r="B464"/>
      <c r="C464"/>
      <c r="D464"/>
      <c r="F464" s="85"/>
    </row>
    <row r="469" spans="1:6" s="4" customFormat="1" x14ac:dyDescent="0.25">
      <c r="A469"/>
      <c r="B469"/>
      <c r="C469"/>
      <c r="D469"/>
      <c r="F469" s="85"/>
    </row>
    <row r="472" spans="1:6" s="4" customFormat="1" x14ac:dyDescent="0.25">
      <c r="A472"/>
      <c r="B472"/>
      <c r="C472"/>
      <c r="D472"/>
      <c r="F472" s="85"/>
    </row>
    <row r="476" spans="1:6" ht="30" customHeight="1" x14ac:dyDescent="0.25"/>
    <row r="477" spans="1:6" s="4" customFormat="1" x14ac:dyDescent="0.25">
      <c r="A477"/>
      <c r="B477"/>
      <c r="C477"/>
      <c r="D477"/>
      <c r="F477" s="85"/>
    </row>
    <row r="480" spans="1:6" s="4" customFormat="1" x14ac:dyDescent="0.25">
      <c r="A480"/>
      <c r="B480"/>
      <c r="C480"/>
      <c r="D480"/>
      <c r="F480" s="85"/>
    </row>
    <row r="481" spans="1:6" s="4" customFormat="1" x14ac:dyDescent="0.25">
      <c r="A481"/>
      <c r="B481"/>
      <c r="C481"/>
      <c r="D481"/>
      <c r="F481" s="85"/>
    </row>
  </sheetData>
  <sheetProtection selectLockedCells="1"/>
  <dataConsolidate/>
  <mergeCells count="238">
    <mergeCell ref="C255:D255"/>
    <mergeCell ref="C256:D256"/>
    <mergeCell ref="C257:D257"/>
    <mergeCell ref="B83:D83"/>
    <mergeCell ref="B87:D87"/>
    <mergeCell ref="B91:D91"/>
    <mergeCell ref="B95:D95"/>
    <mergeCell ref="B99:D99"/>
    <mergeCell ref="B102:D102"/>
    <mergeCell ref="B112:D112"/>
    <mergeCell ref="B116:D116"/>
    <mergeCell ref="C251:D251"/>
    <mergeCell ref="C252:D252"/>
    <mergeCell ref="C253:D253"/>
    <mergeCell ref="C244:D244"/>
    <mergeCell ref="C247:D247"/>
    <mergeCell ref="C246:D246"/>
    <mergeCell ref="C248:D248"/>
    <mergeCell ref="B146:D146"/>
    <mergeCell ref="B149:D149"/>
    <mergeCell ref="B153:D153"/>
    <mergeCell ref="B245:D245"/>
    <mergeCell ref="C238:D238"/>
    <mergeCell ref="C239:D239"/>
    <mergeCell ref="C242:D242"/>
    <mergeCell ref="C243:D243"/>
    <mergeCell ref="B249:D249"/>
    <mergeCell ref="B250:D250"/>
    <mergeCell ref="C217:D217"/>
    <mergeCell ref="C218:D218"/>
    <mergeCell ref="C226:D226"/>
    <mergeCell ref="C228:D228"/>
    <mergeCell ref="C224:D224"/>
    <mergeCell ref="C225:D225"/>
    <mergeCell ref="B227:D227"/>
    <mergeCell ref="C237:D237"/>
    <mergeCell ref="B236:D236"/>
    <mergeCell ref="B240:D240"/>
    <mergeCell ref="B241:D241"/>
    <mergeCell ref="C220:D220"/>
    <mergeCell ref="C221:D221"/>
    <mergeCell ref="C222:D222"/>
    <mergeCell ref="B219:D219"/>
    <mergeCell ref="C235:D235"/>
    <mergeCell ref="C229:D229"/>
    <mergeCell ref="C230:D230"/>
    <mergeCell ref="B231:D231"/>
    <mergeCell ref="B232:D232"/>
    <mergeCell ref="C233:D233"/>
    <mergeCell ref="C234:D234"/>
    <mergeCell ref="B223:D223"/>
    <mergeCell ref="C201:D201"/>
    <mergeCell ref="C204:D204"/>
    <mergeCell ref="C207:D207"/>
    <mergeCell ref="C208:D208"/>
    <mergeCell ref="C212:D212"/>
    <mergeCell ref="C213:D213"/>
    <mergeCell ref="C214:D214"/>
    <mergeCell ref="C216:D216"/>
    <mergeCell ref="B215:D215"/>
    <mergeCell ref="B254:D254"/>
    <mergeCell ref="C127:D127"/>
    <mergeCell ref="C129:D129"/>
    <mergeCell ref="C130:D130"/>
    <mergeCell ref="C148:D148"/>
    <mergeCell ref="C150:D150"/>
    <mergeCell ref="C154:D154"/>
    <mergeCell ref="C158:D158"/>
    <mergeCell ref="C159:D159"/>
    <mergeCell ref="C161:D161"/>
    <mergeCell ref="C134:D134"/>
    <mergeCell ref="C136:D136"/>
    <mergeCell ref="C137:D137"/>
    <mergeCell ref="C138:D138"/>
    <mergeCell ref="C140:D140"/>
    <mergeCell ref="C142:D142"/>
    <mergeCell ref="B157:D157"/>
    <mergeCell ref="B160:D160"/>
    <mergeCell ref="B128:D128"/>
    <mergeCell ref="B132:D132"/>
    <mergeCell ref="B135:D135"/>
    <mergeCell ref="B139:D139"/>
    <mergeCell ref="C141:D141"/>
    <mergeCell ref="C173:D173"/>
    <mergeCell ref="C60:D60"/>
    <mergeCell ref="C61:D61"/>
    <mergeCell ref="C64:D64"/>
    <mergeCell ref="C65:D65"/>
    <mergeCell ref="C66:D66"/>
    <mergeCell ref="C69:D69"/>
    <mergeCell ref="C77:D77"/>
    <mergeCell ref="C78:D78"/>
    <mergeCell ref="C80:D80"/>
    <mergeCell ref="B72:D72"/>
    <mergeCell ref="B79:D79"/>
    <mergeCell ref="C73:D73"/>
    <mergeCell ref="C74:D74"/>
    <mergeCell ref="C75:D75"/>
    <mergeCell ref="C76:D76"/>
    <mergeCell ref="C20:D20"/>
    <mergeCell ref="C49:D49"/>
    <mergeCell ref="C29:D29"/>
    <mergeCell ref="C30:D30"/>
    <mergeCell ref="C46:D46"/>
    <mergeCell ref="C47:D47"/>
    <mergeCell ref="C23:D23"/>
    <mergeCell ref="C24:D24"/>
    <mergeCell ref="C26:D26"/>
    <mergeCell ref="C27:D27"/>
    <mergeCell ref="C28:D28"/>
    <mergeCell ref="C22:D22"/>
    <mergeCell ref="C39:D39"/>
    <mergeCell ref="C37:D37"/>
    <mergeCell ref="C38:D38"/>
    <mergeCell ref="C44:D44"/>
    <mergeCell ref="C33:D33"/>
    <mergeCell ref="B1:D1"/>
    <mergeCell ref="B2:D2"/>
    <mergeCell ref="B3:D3"/>
    <mergeCell ref="B4:D4"/>
    <mergeCell ref="C31:D31"/>
    <mergeCell ref="C21:D21"/>
    <mergeCell ref="C43:D43"/>
    <mergeCell ref="C6:D6"/>
    <mergeCell ref="C7:D7"/>
    <mergeCell ref="C8:D8"/>
    <mergeCell ref="C9:D9"/>
    <mergeCell ref="C10:D10"/>
    <mergeCell ref="C12:D12"/>
    <mergeCell ref="C13:D13"/>
    <mergeCell ref="C14:D14"/>
    <mergeCell ref="C16:D16"/>
    <mergeCell ref="C11:D11"/>
    <mergeCell ref="C15:D15"/>
    <mergeCell ref="C40:D40"/>
    <mergeCell ref="C32:D32"/>
    <mergeCell ref="C34:D34"/>
    <mergeCell ref="C36:D36"/>
    <mergeCell ref="C17:D17"/>
    <mergeCell ref="C19:D19"/>
    <mergeCell ref="B52:D52"/>
    <mergeCell ref="B53:D53"/>
    <mergeCell ref="B54:D54"/>
    <mergeCell ref="B67:D67"/>
    <mergeCell ref="C191:D191"/>
    <mergeCell ref="C193:D193"/>
    <mergeCell ref="C196:D196"/>
    <mergeCell ref="C198:D198"/>
    <mergeCell ref="C181:D181"/>
    <mergeCell ref="C182:D182"/>
    <mergeCell ref="C185:D185"/>
    <mergeCell ref="C186:D186"/>
    <mergeCell ref="C187:D187"/>
    <mergeCell ref="C189:D189"/>
    <mergeCell ref="C190:D190"/>
    <mergeCell ref="C147:D147"/>
    <mergeCell ref="C167:D167"/>
    <mergeCell ref="C169:D169"/>
    <mergeCell ref="C170:D170"/>
    <mergeCell ref="B164:D164"/>
    <mergeCell ref="B172:D172"/>
    <mergeCell ref="B176:D176"/>
    <mergeCell ref="B183:D183"/>
    <mergeCell ref="C56:D56"/>
    <mergeCell ref="C109:D109"/>
    <mergeCell ref="C110:D110"/>
    <mergeCell ref="C111:D111"/>
    <mergeCell ref="C113:D113"/>
    <mergeCell ref="C114:D114"/>
    <mergeCell ref="C115:D115"/>
    <mergeCell ref="C117:D117"/>
    <mergeCell ref="B120:D120"/>
    <mergeCell ref="C125:D125"/>
    <mergeCell ref="C118:D118"/>
    <mergeCell ref="C119:D119"/>
    <mergeCell ref="C121:D121"/>
    <mergeCell ref="C122:D122"/>
    <mergeCell ref="C81:D81"/>
    <mergeCell ref="C82:D82"/>
    <mergeCell ref="C84:D84"/>
    <mergeCell ref="C85:D85"/>
    <mergeCell ref="C86:D86"/>
    <mergeCell ref="C88:D88"/>
    <mergeCell ref="C108:D108"/>
    <mergeCell ref="C100:D100"/>
    <mergeCell ref="C96:D96"/>
    <mergeCell ref="C97:D97"/>
    <mergeCell ref="C98:D98"/>
    <mergeCell ref="C93:D93"/>
    <mergeCell ref="C94:D94"/>
    <mergeCell ref="C126:D126"/>
    <mergeCell ref="C107:D107"/>
    <mergeCell ref="B200:D200"/>
    <mergeCell ref="B203:D203"/>
    <mergeCell ref="B206:D206"/>
    <mergeCell ref="B209:D209"/>
    <mergeCell ref="B210:D210"/>
    <mergeCell ref="B211:D211"/>
    <mergeCell ref="B124:D124"/>
    <mergeCell ref="C177:D177"/>
    <mergeCell ref="C178:D178"/>
    <mergeCell ref="C179:D179"/>
    <mergeCell ref="C180:D180"/>
    <mergeCell ref="C163:D163"/>
    <mergeCell ref="C165:D165"/>
    <mergeCell ref="B168:D168"/>
    <mergeCell ref="B144:D144"/>
    <mergeCell ref="B145:D145"/>
    <mergeCell ref="B188:D188"/>
    <mergeCell ref="B192:D192"/>
    <mergeCell ref="B199:D199"/>
    <mergeCell ref="B184:D184"/>
    <mergeCell ref="C133:D133"/>
    <mergeCell ref="C131:D131"/>
    <mergeCell ref="C50:D50"/>
    <mergeCell ref="B51:D51"/>
    <mergeCell ref="C41:D41"/>
    <mergeCell ref="C202:D202"/>
    <mergeCell ref="C205:D205"/>
    <mergeCell ref="C62:D62"/>
    <mergeCell ref="C57:D57"/>
    <mergeCell ref="C58:D58"/>
    <mergeCell ref="C155:D155"/>
    <mergeCell ref="C156:D156"/>
    <mergeCell ref="C162:D162"/>
    <mergeCell ref="C174:D174"/>
    <mergeCell ref="C175:D175"/>
    <mergeCell ref="C197:D197"/>
    <mergeCell ref="C101:D101"/>
    <mergeCell ref="C103:D103"/>
    <mergeCell ref="C104:D104"/>
    <mergeCell ref="C105:D105"/>
    <mergeCell ref="C106:D106"/>
    <mergeCell ref="C89:D89"/>
    <mergeCell ref="C90:D90"/>
    <mergeCell ref="C92:D92"/>
    <mergeCell ref="B143:D143"/>
    <mergeCell ref="C123:D123"/>
  </mergeCells>
  <pageMargins left="0.7" right="0.7" top="0.75" bottom="0.75" header="0.3" footer="0.3"/>
  <pageSetup paperSize="9" orientation="portrait" r:id="rId1"/>
  <ignoredErrors>
    <ignoredError sqref="F41" 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20">
        <x14:dataValidation type="list" allowBlank="1" showInputMessage="1" showErrorMessage="1" xr:uid="{FCD5D571-1B17-49F4-92C9-953240A46920}">
          <x14:formula1>
            <xm:f>combo!$B$2:$B$5</xm:f>
          </x14:formula1>
          <xm:sqref>C7:D7</xm:sqref>
        </x14:dataValidation>
        <x14:dataValidation type="list" allowBlank="1" showInputMessage="1" showErrorMessage="1" xr:uid="{6FB42B4F-64EF-45BB-B3A2-6ECC84B2DB66}">
          <x14:formula1>
            <xm:f>combo!$B$7:$B$10</xm:f>
          </x14:formula1>
          <xm:sqref>C9:D9</xm:sqref>
        </x14:dataValidation>
        <x14:dataValidation type="list" allowBlank="1" showInputMessage="1" showErrorMessage="1" xr:uid="{6C3B1364-AFFD-4270-B991-8B1D7AF4B93A}">
          <x14:formula1>
            <xm:f>combo!$B$12:$B$15</xm:f>
          </x14:formula1>
          <xm:sqref>C11:D11</xm:sqref>
        </x14:dataValidation>
        <x14:dataValidation type="list" allowBlank="1" showInputMessage="1" showErrorMessage="1" xr:uid="{026E5ED9-1E48-40DC-B0A2-876927C7A8C4}">
          <x14:formula1>
            <xm:f>combo!$B$17:$B$20</xm:f>
          </x14:formula1>
          <xm:sqref>C13:D13</xm:sqref>
        </x14:dataValidation>
        <x14:dataValidation type="list" allowBlank="1" showInputMessage="1" showErrorMessage="1" xr:uid="{139948A0-0D07-4DFD-BB47-452D22B309A9}">
          <x14:formula1>
            <xm:f>combo!$B$22:$B$25</xm:f>
          </x14:formula1>
          <xm:sqref>C15:D15</xm:sqref>
        </x14:dataValidation>
        <x14:dataValidation type="list" allowBlank="1" showInputMessage="1" showErrorMessage="1" xr:uid="{AB4F6016-F1AF-419E-A1B0-BC453F659808}">
          <x14:formula1>
            <xm:f>combo!$B$27:$B$30</xm:f>
          </x14:formula1>
          <xm:sqref>C17:D17</xm:sqref>
        </x14:dataValidation>
        <x14:dataValidation type="list" allowBlank="1" showInputMessage="1" showErrorMessage="1" xr:uid="{F5597CE4-695C-46B6-9151-03BFF0A80827}">
          <x14:formula1>
            <xm:f>combo!$B$33:$B$34</xm:f>
          </x14:formula1>
          <xm:sqref>C20:D20</xm:sqref>
        </x14:dataValidation>
        <x14:dataValidation type="list" allowBlank="1" showInputMessage="1" showErrorMessage="1" xr:uid="{2310FCCA-9319-4D14-B9E7-91FF8F99F28F}">
          <x14:formula1>
            <xm:f>combo!$B$36:$B$37</xm:f>
          </x14:formula1>
          <xm:sqref>C22:D22</xm:sqref>
        </x14:dataValidation>
        <x14:dataValidation type="list" allowBlank="1" showInputMessage="1" showErrorMessage="1" xr:uid="{58282A3F-24C9-4A19-9034-E637F0B1D1B6}">
          <x14:formula1>
            <xm:f>combo!$B$39:$B$42</xm:f>
          </x14:formula1>
          <xm:sqref>C24:D24</xm:sqref>
        </x14:dataValidation>
        <x14:dataValidation type="list" allowBlank="1" showInputMessage="1" showErrorMessage="1" xr:uid="{2941727A-D5C9-4B35-8ACA-3790225D2DA1}">
          <x14:formula1>
            <xm:f>combo!$B$45:$B$48</xm:f>
          </x14:formula1>
          <xm:sqref>C37:D37</xm:sqref>
        </x14:dataValidation>
        <x14:dataValidation type="list" allowBlank="1" showInputMessage="1" showErrorMessage="1" xr:uid="{70A607B1-D95A-49E6-8DEF-00E2601AD111}">
          <x14:formula1>
            <xm:f>combo!$B$50:$B$53</xm:f>
          </x14:formula1>
          <xm:sqref>C39:D39</xm:sqref>
        </x14:dataValidation>
        <x14:dataValidation type="list" allowBlank="1" showInputMessage="1" showErrorMessage="1" xr:uid="{48021985-CF53-40C9-8E66-AC9674A7E417}">
          <x14:formula1>
            <xm:f>combo!$B$56:$B$59</xm:f>
          </x14:formula1>
          <xm:sqref>C44:D44</xm:sqref>
        </x14:dataValidation>
        <x14:dataValidation type="list" allowBlank="1" showInputMessage="1" showErrorMessage="1" xr:uid="{D3BDB618-D7DF-40F6-A569-7BCA2A5EBAB8}">
          <x14:formula1>
            <xm:f>combo!$B$62:$B$64</xm:f>
          </x14:formula1>
          <xm:sqref>C47:D47</xm:sqref>
        </x14:dataValidation>
        <x14:dataValidation type="list" allowBlank="1" showInputMessage="1" showErrorMessage="1" xr:uid="{D0D495CB-0269-4703-8069-BFDA28510C29}">
          <x14:formula1>
            <xm:f>combo!$B$67:$B$68</xm:f>
          </x14:formula1>
          <xm:sqref>C50:D50</xm:sqref>
        </x14:dataValidation>
        <x14:dataValidation type="list" allowBlank="1" showInputMessage="1" showErrorMessage="1" xr:uid="{B8A4FB15-255F-4FEF-A0CF-43FBB6EB1BAF}">
          <x14:formula1>
            <xm:f>combo!$B$71:$B$73</xm:f>
          </x14:formula1>
          <xm:sqref>C101:D101</xm:sqref>
        </x14:dataValidation>
        <x14:dataValidation type="list" allowBlank="1" showInputMessage="1" showErrorMessage="1" xr:uid="{25C09DFB-7706-45FF-AD0F-6DB37B2343E6}">
          <x14:formula1>
            <xm:f>combo!$B$91:$B$94</xm:f>
          </x14:formula1>
          <xm:sqref>C41:D41</xm:sqref>
        </x14:dataValidation>
        <x14:dataValidation type="list" allowBlank="1" showInputMessage="1" showErrorMessage="1" xr:uid="{C54876B2-3034-4D47-9D7C-1F07E58A6EFD}">
          <x14:formula1>
            <xm:f>combo!$B$76:$B$77</xm:f>
          </x14:formula1>
          <xm:sqref>C134:D134</xm:sqref>
        </x14:dataValidation>
        <x14:dataValidation type="list" allowBlank="1" showInputMessage="1" showErrorMessage="1" xr:uid="{95D7CADD-1139-4EA0-923B-D491DEBD47FB}">
          <x14:formula1>
            <xm:f>combo!$B$80:$B$81</xm:f>
          </x14:formula1>
          <xm:sqref>C202:D202</xm:sqref>
        </x14:dataValidation>
        <x14:dataValidation type="list" allowBlank="1" showInputMessage="1" showErrorMessage="1" xr:uid="{CE138A2B-78EF-47A0-BF9A-76962198DD27}">
          <x14:formula1>
            <xm:f>combo!$B$84:$B$85</xm:f>
          </x14:formula1>
          <xm:sqref>C205:D205</xm:sqref>
        </x14:dataValidation>
        <x14:dataValidation type="list" allowBlank="1" showInputMessage="1" showErrorMessage="1" xr:uid="{00CBC74E-5962-4DDF-8CAF-BD6AED02D07E}">
          <x14:formula1>
            <xm:f>combo!$B$88:$B$89</xm:f>
          </x14:formula1>
          <xm:sqref>C208:D208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00FD4-2A8C-4EB8-BF15-4D346E842F38}">
  <dimension ref="A1:C94"/>
  <sheetViews>
    <sheetView topLeftCell="A67" workbookViewId="0">
      <selection activeCell="B84" sqref="B84:B85"/>
    </sheetView>
  </sheetViews>
  <sheetFormatPr defaultRowHeight="15" x14ac:dyDescent="0.25"/>
  <sheetData>
    <row r="1" spans="1:3" x14ac:dyDescent="0.25">
      <c r="A1" s="34" t="s">
        <v>5</v>
      </c>
      <c r="B1" s="157" t="s">
        <v>124</v>
      </c>
      <c r="C1" s="158"/>
    </row>
    <row r="2" spans="1:3" ht="14.45" customHeight="1" x14ac:dyDescent="0.25">
      <c r="A2" s="10"/>
      <c r="B2" s="74" t="s">
        <v>125</v>
      </c>
      <c r="C2" s="67"/>
    </row>
    <row r="3" spans="1:3" ht="14.45" customHeight="1" x14ac:dyDescent="0.25">
      <c r="A3" s="10"/>
      <c r="B3" s="74" t="s">
        <v>126</v>
      </c>
      <c r="C3" s="67"/>
    </row>
    <row r="4" spans="1:3" ht="14.45" customHeight="1" x14ac:dyDescent="0.25">
      <c r="A4" s="10"/>
      <c r="B4" s="74" t="s">
        <v>127</v>
      </c>
      <c r="C4" s="67"/>
    </row>
    <row r="5" spans="1:3" ht="14.45" customHeight="1" x14ac:dyDescent="0.25">
      <c r="A5" s="10"/>
      <c r="B5" s="74" t="s">
        <v>128</v>
      </c>
      <c r="C5" s="67"/>
    </row>
    <row r="6" spans="1:3" x14ac:dyDescent="0.25">
      <c r="A6" s="34" t="s">
        <v>17</v>
      </c>
      <c r="B6" s="157" t="s">
        <v>129</v>
      </c>
      <c r="C6" s="158"/>
    </row>
    <row r="7" spans="1:3" x14ac:dyDescent="0.25">
      <c r="A7" s="10"/>
      <c r="B7" s="75" t="s">
        <v>130</v>
      </c>
      <c r="C7" s="68"/>
    </row>
    <row r="8" spans="1:3" x14ac:dyDescent="0.25">
      <c r="A8" s="10"/>
      <c r="B8" s="75" t="s">
        <v>132</v>
      </c>
      <c r="C8" s="68"/>
    </row>
    <row r="9" spans="1:3" x14ac:dyDescent="0.25">
      <c r="A9" s="10"/>
      <c r="B9" s="75" t="s">
        <v>131</v>
      </c>
      <c r="C9" s="68"/>
    </row>
    <row r="10" spans="1:3" x14ac:dyDescent="0.25">
      <c r="A10" s="10"/>
      <c r="B10" s="75" t="s">
        <v>133</v>
      </c>
      <c r="C10" s="68"/>
    </row>
    <row r="11" spans="1:3" x14ac:dyDescent="0.25">
      <c r="A11" s="34" t="s">
        <v>18</v>
      </c>
      <c r="B11" s="157" t="s">
        <v>134</v>
      </c>
      <c r="C11" s="158"/>
    </row>
    <row r="12" spans="1:3" x14ac:dyDescent="0.25">
      <c r="A12" s="62"/>
      <c r="B12" s="75" t="s">
        <v>135</v>
      </c>
      <c r="C12" s="68"/>
    </row>
    <row r="13" spans="1:3" x14ac:dyDescent="0.25">
      <c r="A13" s="62"/>
      <c r="B13" s="75" t="s">
        <v>136</v>
      </c>
      <c r="C13" s="68"/>
    </row>
    <row r="14" spans="1:3" ht="14.45" customHeight="1" x14ac:dyDescent="0.25">
      <c r="A14" s="10"/>
      <c r="B14" s="74" t="s">
        <v>137</v>
      </c>
      <c r="C14" s="67"/>
    </row>
    <row r="15" spans="1:3" ht="14.45" customHeight="1" x14ac:dyDescent="0.25">
      <c r="A15" s="10"/>
      <c r="B15" s="74" t="s">
        <v>133</v>
      </c>
      <c r="C15" s="67"/>
    </row>
    <row r="16" spans="1:3" x14ac:dyDescent="0.25">
      <c r="A16" s="34" t="s">
        <v>19</v>
      </c>
      <c r="B16" s="165" t="s">
        <v>138</v>
      </c>
      <c r="C16" s="166"/>
    </row>
    <row r="17" spans="1:3" ht="14.45" customHeight="1" x14ac:dyDescent="0.25">
      <c r="A17" s="10"/>
      <c r="B17" s="74" t="s">
        <v>139</v>
      </c>
      <c r="C17" s="67"/>
    </row>
    <row r="18" spans="1:3" ht="14.45" customHeight="1" x14ac:dyDescent="0.25">
      <c r="A18" s="10"/>
      <c r="B18" s="74" t="s">
        <v>140</v>
      </c>
      <c r="C18" s="67"/>
    </row>
    <row r="19" spans="1:3" ht="14.45" customHeight="1" x14ac:dyDescent="0.25">
      <c r="A19" s="10"/>
      <c r="B19" s="74" t="s">
        <v>141</v>
      </c>
      <c r="C19" s="67"/>
    </row>
    <row r="20" spans="1:3" ht="14.45" customHeight="1" x14ac:dyDescent="0.25">
      <c r="A20" s="10"/>
      <c r="B20" s="74" t="s">
        <v>142</v>
      </c>
      <c r="C20" s="67"/>
    </row>
    <row r="21" spans="1:3" x14ac:dyDescent="0.25">
      <c r="A21" s="34" t="s">
        <v>20</v>
      </c>
      <c r="B21" s="157" t="s">
        <v>143</v>
      </c>
      <c r="C21" s="158"/>
    </row>
    <row r="22" spans="1:3" ht="14.45" customHeight="1" x14ac:dyDescent="0.25">
      <c r="A22" s="62"/>
      <c r="B22" s="74" t="s">
        <v>144</v>
      </c>
      <c r="C22" s="67"/>
    </row>
    <row r="23" spans="1:3" ht="14.45" customHeight="1" x14ac:dyDescent="0.25">
      <c r="A23" s="62"/>
      <c r="B23" s="74" t="s">
        <v>145</v>
      </c>
      <c r="C23" s="67"/>
    </row>
    <row r="24" spans="1:3" ht="14.45" customHeight="1" x14ac:dyDescent="0.25">
      <c r="A24" s="62"/>
      <c r="B24" s="74" t="s">
        <v>146</v>
      </c>
      <c r="C24" s="67"/>
    </row>
    <row r="25" spans="1:3" ht="14.45" customHeight="1" x14ac:dyDescent="0.25">
      <c r="A25" s="62"/>
      <c r="B25" s="74" t="s">
        <v>142</v>
      </c>
      <c r="C25" s="67"/>
    </row>
    <row r="26" spans="1:3" x14ac:dyDescent="0.25">
      <c r="A26" s="34" t="s">
        <v>21</v>
      </c>
      <c r="B26" s="165" t="s">
        <v>147</v>
      </c>
      <c r="C26" s="166"/>
    </row>
    <row r="27" spans="1:3" ht="14.45" customHeight="1" x14ac:dyDescent="0.25">
      <c r="A27" s="10"/>
      <c r="B27" s="74" t="s">
        <v>148</v>
      </c>
      <c r="C27" s="67"/>
    </row>
    <row r="28" spans="1:3" ht="14.45" customHeight="1" x14ac:dyDescent="0.25">
      <c r="A28" s="10"/>
      <c r="B28" s="74" t="s">
        <v>149</v>
      </c>
      <c r="C28" s="67"/>
    </row>
    <row r="29" spans="1:3" ht="14.45" customHeight="1" x14ac:dyDescent="0.25">
      <c r="A29" s="10"/>
      <c r="B29" s="74" t="s">
        <v>150</v>
      </c>
      <c r="C29" s="67"/>
    </row>
    <row r="30" spans="1:3" ht="14.45" customHeight="1" x14ac:dyDescent="0.25">
      <c r="A30" s="10"/>
      <c r="B30" s="74" t="s">
        <v>151</v>
      </c>
      <c r="C30" s="67"/>
    </row>
    <row r="31" spans="1:3" x14ac:dyDescent="0.25">
      <c r="A31" s="44" t="s">
        <v>292</v>
      </c>
      <c r="B31" s="45"/>
      <c r="C31" s="46"/>
    </row>
    <row r="32" spans="1:3" x14ac:dyDescent="0.25">
      <c r="A32" s="34" t="s">
        <v>5</v>
      </c>
      <c r="B32" s="157" t="s">
        <v>152</v>
      </c>
      <c r="C32" s="158"/>
    </row>
    <row r="33" spans="1:3" ht="14.45" customHeight="1" x14ac:dyDescent="0.25">
      <c r="A33" s="10"/>
      <c r="B33" s="74" t="s">
        <v>153</v>
      </c>
      <c r="C33" s="67"/>
    </row>
    <row r="34" spans="1:3" ht="14.45" customHeight="1" x14ac:dyDescent="0.25">
      <c r="A34" s="10"/>
      <c r="B34" s="74" t="s">
        <v>154</v>
      </c>
      <c r="C34" s="67"/>
    </row>
    <row r="35" spans="1:3" x14ac:dyDescent="0.25">
      <c r="A35" s="34" t="s">
        <v>17</v>
      </c>
      <c r="B35" s="157" t="s">
        <v>155</v>
      </c>
      <c r="C35" s="158"/>
    </row>
    <row r="36" spans="1:3" ht="14.45" customHeight="1" x14ac:dyDescent="0.25">
      <c r="A36" s="10"/>
      <c r="B36" s="74" t="s">
        <v>156</v>
      </c>
      <c r="C36" s="67"/>
    </row>
    <row r="37" spans="1:3" ht="14.45" customHeight="1" x14ac:dyDescent="0.25">
      <c r="A37" s="10"/>
      <c r="B37" s="74" t="s">
        <v>157</v>
      </c>
      <c r="C37" s="67"/>
    </row>
    <row r="38" spans="1:3" x14ac:dyDescent="0.25">
      <c r="A38" s="34" t="s">
        <v>18</v>
      </c>
      <c r="B38" s="157" t="s">
        <v>158</v>
      </c>
      <c r="C38" s="158"/>
    </row>
    <row r="39" spans="1:3" ht="14.45" customHeight="1" x14ac:dyDescent="0.25">
      <c r="A39" s="10"/>
      <c r="B39" s="74" t="s">
        <v>159</v>
      </c>
      <c r="C39" s="67"/>
    </row>
    <row r="40" spans="1:3" ht="14.45" customHeight="1" x14ac:dyDescent="0.25">
      <c r="A40" s="10"/>
      <c r="B40" s="74" t="s">
        <v>160</v>
      </c>
      <c r="C40" s="67"/>
    </row>
    <row r="41" spans="1:3" ht="14.45" customHeight="1" x14ac:dyDescent="0.25">
      <c r="A41" s="10"/>
      <c r="B41" s="74" t="s">
        <v>161</v>
      </c>
      <c r="C41" s="67"/>
    </row>
    <row r="42" spans="1:3" ht="14.45" customHeight="1" x14ac:dyDescent="0.25">
      <c r="A42" s="10"/>
      <c r="B42" s="74" t="s">
        <v>162</v>
      </c>
      <c r="C42" s="67"/>
    </row>
    <row r="43" spans="1:3" x14ac:dyDescent="0.25">
      <c r="A43" s="44" t="s">
        <v>294</v>
      </c>
      <c r="B43" s="44"/>
      <c r="C43" s="44"/>
    </row>
    <row r="44" spans="1:3" ht="14.45" customHeight="1" x14ac:dyDescent="0.25">
      <c r="A44" s="34" t="s">
        <v>5</v>
      </c>
      <c r="B44" s="157" t="s">
        <v>172</v>
      </c>
      <c r="C44" s="158"/>
    </row>
    <row r="45" spans="1:3" ht="14.45" customHeight="1" x14ac:dyDescent="0.25">
      <c r="A45" s="22"/>
      <c r="B45" s="74" t="s">
        <v>173</v>
      </c>
      <c r="C45" s="67"/>
    </row>
    <row r="46" spans="1:3" ht="14.45" customHeight="1" x14ac:dyDescent="0.25">
      <c r="A46" s="22"/>
      <c r="B46" s="74" t="s">
        <v>174</v>
      </c>
      <c r="C46" s="67"/>
    </row>
    <row r="47" spans="1:3" ht="14.45" customHeight="1" x14ac:dyDescent="0.25">
      <c r="A47" s="22"/>
      <c r="B47" s="74" t="s">
        <v>175</v>
      </c>
      <c r="C47" s="67"/>
    </row>
    <row r="48" spans="1:3" ht="14.45" customHeight="1" x14ac:dyDescent="0.25">
      <c r="A48" s="22"/>
      <c r="B48" s="74" t="s">
        <v>176</v>
      </c>
      <c r="C48" s="67"/>
    </row>
    <row r="49" spans="1:3" ht="14.45" customHeight="1" x14ac:dyDescent="0.25">
      <c r="A49" s="34" t="s">
        <v>17</v>
      </c>
      <c r="B49" s="159" t="s">
        <v>177</v>
      </c>
      <c r="C49" s="160"/>
    </row>
    <row r="50" spans="1:3" ht="14.45" customHeight="1" x14ac:dyDescent="0.25">
      <c r="A50" s="22"/>
      <c r="B50" s="77" t="s">
        <v>178</v>
      </c>
      <c r="C50" s="72"/>
    </row>
    <row r="51" spans="1:3" ht="14.45" customHeight="1" x14ac:dyDescent="0.25">
      <c r="A51" s="22"/>
      <c r="B51" s="74" t="s">
        <v>179</v>
      </c>
      <c r="C51" s="67"/>
    </row>
    <row r="52" spans="1:3" ht="14.45" customHeight="1" x14ac:dyDescent="0.25">
      <c r="A52" s="22"/>
      <c r="B52" s="74" t="s">
        <v>180</v>
      </c>
      <c r="C52" s="67"/>
    </row>
    <row r="53" spans="1:3" ht="14.45" customHeight="1" x14ac:dyDescent="0.25">
      <c r="A53" s="22"/>
      <c r="B53" s="74" t="s">
        <v>181</v>
      </c>
      <c r="C53" s="67"/>
    </row>
    <row r="54" spans="1:3" x14ac:dyDescent="0.25">
      <c r="A54" s="44" t="s">
        <v>295</v>
      </c>
      <c r="B54" s="44"/>
      <c r="C54" s="44"/>
    </row>
    <row r="55" spans="1:3" x14ac:dyDescent="0.25">
      <c r="A55" s="34" t="s">
        <v>5</v>
      </c>
      <c r="B55" s="159" t="s">
        <v>183</v>
      </c>
      <c r="C55" s="160"/>
    </row>
    <row r="56" spans="1:3" x14ac:dyDescent="0.25">
      <c r="A56" s="62"/>
      <c r="B56" s="82" t="s">
        <v>184</v>
      </c>
      <c r="C56" s="8"/>
    </row>
    <row r="57" spans="1:3" x14ac:dyDescent="0.25">
      <c r="A57" s="22"/>
      <c r="B57" s="82" t="s">
        <v>185</v>
      </c>
      <c r="C57" s="63"/>
    </row>
    <row r="58" spans="1:3" x14ac:dyDescent="0.25">
      <c r="A58" s="22"/>
      <c r="B58" s="82" t="s">
        <v>186</v>
      </c>
      <c r="C58" s="63"/>
    </row>
    <row r="59" spans="1:3" x14ac:dyDescent="0.25">
      <c r="A59" s="62"/>
      <c r="B59" s="82" t="s">
        <v>187</v>
      </c>
      <c r="C59" s="8"/>
    </row>
    <row r="60" spans="1:3" x14ac:dyDescent="0.25">
      <c r="A60" s="44" t="s">
        <v>296</v>
      </c>
      <c r="B60" s="44"/>
      <c r="C60" s="44"/>
    </row>
    <row r="61" spans="1:3" x14ac:dyDescent="0.25">
      <c r="A61" s="34" t="s">
        <v>5</v>
      </c>
      <c r="B61" s="159" t="s">
        <v>188</v>
      </c>
      <c r="C61" s="160"/>
    </row>
    <row r="62" spans="1:3" ht="14.45" customHeight="1" x14ac:dyDescent="0.25">
      <c r="A62" s="22"/>
      <c r="B62" s="74" t="s">
        <v>189</v>
      </c>
      <c r="C62" s="67"/>
    </row>
    <row r="63" spans="1:3" ht="14.45" customHeight="1" x14ac:dyDescent="0.25">
      <c r="A63" s="62"/>
      <c r="B63" s="74" t="s">
        <v>190</v>
      </c>
      <c r="C63" s="67"/>
    </row>
    <row r="64" spans="1:3" ht="14.45" customHeight="1" x14ac:dyDescent="0.25">
      <c r="A64" s="22"/>
      <c r="B64" s="83" t="s">
        <v>191</v>
      </c>
      <c r="C64" s="66"/>
    </row>
    <row r="65" spans="1:3" x14ac:dyDescent="0.25">
      <c r="A65" s="44" t="s">
        <v>297</v>
      </c>
      <c r="B65" s="44"/>
      <c r="C65" s="44"/>
    </row>
    <row r="66" spans="1:3" x14ac:dyDescent="0.25">
      <c r="A66" s="34" t="s">
        <v>5</v>
      </c>
      <c r="B66" s="149" t="s">
        <v>192</v>
      </c>
      <c r="C66" s="149"/>
    </row>
    <row r="67" spans="1:3" x14ac:dyDescent="0.25">
      <c r="A67" s="38"/>
      <c r="B67" s="82" t="s">
        <v>193</v>
      </c>
      <c r="C67" s="39"/>
    </row>
    <row r="68" spans="1:3" x14ac:dyDescent="0.25">
      <c r="A68" s="38"/>
      <c r="B68" s="82" t="s">
        <v>298</v>
      </c>
      <c r="C68" s="39"/>
    </row>
    <row r="69" spans="1:3" x14ac:dyDescent="0.25">
      <c r="A69" s="151" t="s">
        <v>218</v>
      </c>
      <c r="B69" s="152"/>
      <c r="C69" s="153"/>
    </row>
    <row r="70" spans="1:3" x14ac:dyDescent="0.25">
      <c r="A70" s="34" t="s">
        <v>5</v>
      </c>
      <c r="B70" s="149" t="s">
        <v>218</v>
      </c>
      <c r="C70" s="149"/>
    </row>
    <row r="71" spans="1:3" ht="30" x14ac:dyDescent="0.25">
      <c r="A71" s="38"/>
      <c r="B71" s="83" t="s">
        <v>219</v>
      </c>
      <c r="C71" s="66"/>
    </row>
    <row r="72" spans="1:3" ht="14.45" customHeight="1" x14ac:dyDescent="0.25">
      <c r="A72" s="38"/>
      <c r="B72" s="83" t="s">
        <v>363</v>
      </c>
      <c r="C72" s="66"/>
    </row>
    <row r="73" spans="1:3" ht="14.45" customHeight="1" x14ac:dyDescent="0.25">
      <c r="A73" s="38"/>
      <c r="B73" s="83" t="s">
        <v>392</v>
      </c>
      <c r="C73" s="66"/>
    </row>
    <row r="74" spans="1:3" x14ac:dyDescent="0.25">
      <c r="A74" s="151" t="s">
        <v>242</v>
      </c>
      <c r="B74" s="152"/>
      <c r="C74" s="153"/>
    </row>
    <row r="75" spans="1:3" x14ac:dyDescent="0.25">
      <c r="A75" s="34" t="s">
        <v>5</v>
      </c>
      <c r="B75" s="149" t="s">
        <v>242</v>
      </c>
      <c r="C75" s="149"/>
    </row>
    <row r="76" spans="1:3" ht="30" x14ac:dyDescent="0.25">
      <c r="A76" s="40"/>
      <c r="B76" s="83" t="s">
        <v>219</v>
      </c>
      <c r="C76" s="66"/>
    </row>
    <row r="77" spans="1:3" x14ac:dyDescent="0.25">
      <c r="A77" s="40"/>
      <c r="B77" s="83" t="s">
        <v>243</v>
      </c>
      <c r="C77" s="66"/>
    </row>
    <row r="78" spans="1:3" x14ac:dyDescent="0.25">
      <c r="A78" s="151" t="s">
        <v>279</v>
      </c>
      <c r="B78" s="152"/>
      <c r="C78" s="153"/>
    </row>
    <row r="79" spans="1:3" x14ac:dyDescent="0.25">
      <c r="A79" s="34" t="s">
        <v>5</v>
      </c>
      <c r="B79" s="149" t="s">
        <v>279</v>
      </c>
      <c r="C79" s="149"/>
    </row>
    <row r="80" spans="1:3" x14ac:dyDescent="0.25">
      <c r="A80" s="61"/>
      <c r="B80" s="84" t="s">
        <v>243</v>
      </c>
      <c r="C80" s="61"/>
    </row>
    <row r="81" spans="1:3" ht="30" x14ac:dyDescent="0.25">
      <c r="A81" s="61"/>
      <c r="B81" s="83" t="s">
        <v>219</v>
      </c>
      <c r="C81" s="66"/>
    </row>
    <row r="82" spans="1:3" x14ac:dyDescent="0.25">
      <c r="A82" s="151" t="s">
        <v>280</v>
      </c>
      <c r="B82" s="152"/>
      <c r="C82" s="153"/>
    </row>
    <row r="83" spans="1:3" x14ac:dyDescent="0.25">
      <c r="A83" s="34" t="s">
        <v>5</v>
      </c>
      <c r="B83" s="149" t="s">
        <v>280</v>
      </c>
      <c r="C83" s="149"/>
    </row>
    <row r="84" spans="1:3" x14ac:dyDescent="0.25">
      <c r="A84" s="61"/>
      <c r="B84" s="84" t="s">
        <v>243</v>
      </c>
      <c r="C84" s="61"/>
    </row>
    <row r="85" spans="1:3" ht="30" x14ac:dyDescent="0.25">
      <c r="A85" s="61"/>
      <c r="B85" s="83" t="s">
        <v>219</v>
      </c>
      <c r="C85" s="66"/>
    </row>
    <row r="86" spans="1:3" x14ac:dyDescent="0.25">
      <c r="A86" s="151" t="s">
        <v>281</v>
      </c>
      <c r="B86" s="152"/>
      <c r="C86" s="153"/>
    </row>
    <row r="87" spans="1:3" x14ac:dyDescent="0.25">
      <c r="A87" s="34" t="s">
        <v>5</v>
      </c>
      <c r="B87" s="149" t="s">
        <v>281</v>
      </c>
      <c r="C87" s="149"/>
    </row>
    <row r="88" spans="1:3" x14ac:dyDescent="0.25">
      <c r="A88" s="61"/>
      <c r="B88" s="43" t="s">
        <v>243</v>
      </c>
      <c r="C88" s="61"/>
    </row>
    <row r="89" spans="1:3" ht="30" x14ac:dyDescent="0.25">
      <c r="A89" s="61"/>
      <c r="B89" s="70" t="s">
        <v>219</v>
      </c>
      <c r="C89" s="70"/>
    </row>
    <row r="90" spans="1:3" x14ac:dyDescent="0.25">
      <c r="A90" s="34" t="s">
        <v>18</v>
      </c>
      <c r="B90" s="159" t="s">
        <v>182</v>
      </c>
      <c r="C90" s="160"/>
    </row>
    <row r="91" spans="1:3" x14ac:dyDescent="0.25">
      <c r="B91" t="s">
        <v>394</v>
      </c>
    </row>
    <row r="92" spans="1:3" x14ac:dyDescent="0.25">
      <c r="B92" t="s">
        <v>395</v>
      </c>
    </row>
    <row r="93" spans="1:3" x14ac:dyDescent="0.25">
      <c r="B93" t="s">
        <v>396</v>
      </c>
    </row>
    <row r="94" spans="1:3" x14ac:dyDescent="0.25">
      <c r="B94" t="s">
        <v>393</v>
      </c>
    </row>
  </sheetData>
  <mergeCells count="25">
    <mergeCell ref="B1:C1"/>
    <mergeCell ref="B6:C6"/>
    <mergeCell ref="B11:C11"/>
    <mergeCell ref="B26:C26"/>
    <mergeCell ref="B16:C16"/>
    <mergeCell ref="B21:C21"/>
    <mergeCell ref="B32:C32"/>
    <mergeCell ref="B35:C35"/>
    <mergeCell ref="B38:C38"/>
    <mergeCell ref="B44:C44"/>
    <mergeCell ref="B49:C49"/>
    <mergeCell ref="B55:C55"/>
    <mergeCell ref="B61:C61"/>
    <mergeCell ref="A78:C78"/>
    <mergeCell ref="B66:C66"/>
    <mergeCell ref="A69:C69"/>
    <mergeCell ref="B70:C70"/>
    <mergeCell ref="A74:C74"/>
    <mergeCell ref="B75:C75"/>
    <mergeCell ref="B90:C90"/>
    <mergeCell ref="B87:C87"/>
    <mergeCell ref="B79:C79"/>
    <mergeCell ref="A82:C82"/>
    <mergeCell ref="B83:C83"/>
    <mergeCell ref="A86:C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0"/>
  <sheetViews>
    <sheetView topLeftCell="A24" workbookViewId="0">
      <selection activeCell="D48" sqref="D48"/>
    </sheetView>
  </sheetViews>
  <sheetFormatPr defaultRowHeight="15" x14ac:dyDescent="0.25"/>
  <cols>
    <col min="1" max="1" width="5.85546875" customWidth="1"/>
    <col min="2" max="2" width="3.42578125" customWidth="1"/>
    <col min="3" max="3" width="4.7109375" customWidth="1"/>
    <col min="4" max="4" width="34.7109375" customWidth="1"/>
  </cols>
  <sheetData>
    <row r="1" spans="1:4" ht="36.6" customHeight="1" x14ac:dyDescent="0.25">
      <c r="A1" s="2">
        <v>1</v>
      </c>
      <c r="B1" s="177" t="s">
        <v>0</v>
      </c>
      <c r="C1" s="177"/>
      <c r="D1" s="177"/>
    </row>
    <row r="2" spans="1:4" x14ac:dyDescent="0.25">
      <c r="A2" s="2" t="s">
        <v>1</v>
      </c>
      <c r="B2" s="178" t="s">
        <v>2</v>
      </c>
      <c r="C2" s="178"/>
      <c r="D2" s="178"/>
    </row>
    <row r="3" spans="1:4" x14ac:dyDescent="0.25">
      <c r="A3" s="2" t="s">
        <v>3</v>
      </c>
      <c r="B3" s="178" t="s">
        <v>4</v>
      </c>
      <c r="C3" s="178"/>
      <c r="D3" s="178"/>
    </row>
    <row r="4" spans="1:4" x14ac:dyDescent="0.25">
      <c r="B4" s="3" t="s">
        <v>5</v>
      </c>
      <c r="C4" s="1" t="s">
        <v>6</v>
      </c>
      <c r="D4" s="1"/>
    </row>
    <row r="5" spans="1:4" x14ac:dyDescent="0.25">
      <c r="B5" s="3"/>
      <c r="C5" s="3" t="s">
        <v>33</v>
      </c>
      <c r="D5" s="1" t="s">
        <v>27</v>
      </c>
    </row>
    <row r="6" spans="1:4" x14ac:dyDescent="0.25">
      <c r="B6" s="3"/>
      <c r="C6" s="3" t="s">
        <v>33</v>
      </c>
      <c r="D6" s="1" t="s">
        <v>28</v>
      </c>
    </row>
    <row r="7" spans="1:4" x14ac:dyDescent="0.25">
      <c r="B7" s="3" t="s">
        <v>17</v>
      </c>
      <c r="C7" s="1" t="s">
        <v>7</v>
      </c>
      <c r="D7" s="1"/>
    </row>
    <row r="8" spans="1:4" x14ac:dyDescent="0.25">
      <c r="B8" s="3"/>
      <c r="D8" s="1" t="s">
        <v>29</v>
      </c>
    </row>
    <row r="9" spans="1:4" x14ac:dyDescent="0.25">
      <c r="B9" s="3"/>
      <c r="D9" s="1" t="s">
        <v>30</v>
      </c>
    </row>
    <row r="10" spans="1:4" x14ac:dyDescent="0.25">
      <c r="B10" s="3" t="s">
        <v>18</v>
      </c>
      <c r="C10" s="1" t="s">
        <v>8</v>
      </c>
      <c r="D10" s="1"/>
    </row>
    <row r="11" spans="1:4" x14ac:dyDescent="0.25">
      <c r="B11" s="3"/>
      <c r="D11" s="1" t="s">
        <v>31</v>
      </c>
    </row>
    <row r="12" spans="1:4" x14ac:dyDescent="0.25">
      <c r="B12" s="3"/>
      <c r="D12" s="1" t="s">
        <v>32</v>
      </c>
    </row>
    <row r="13" spans="1:4" x14ac:dyDescent="0.25">
      <c r="B13" s="3" t="s">
        <v>19</v>
      </c>
      <c r="C13" s="1" t="s">
        <v>9</v>
      </c>
      <c r="D13" s="1"/>
    </row>
    <row r="14" spans="1:4" x14ac:dyDescent="0.25">
      <c r="B14" s="3"/>
      <c r="C14" s="1"/>
      <c r="D14" s="1" t="s">
        <v>34</v>
      </c>
    </row>
    <row r="15" spans="1:4" x14ac:dyDescent="0.25">
      <c r="B15" s="3"/>
      <c r="C15" s="1"/>
      <c r="D15" s="1" t="s">
        <v>35</v>
      </c>
    </row>
    <row r="16" spans="1:4" x14ac:dyDescent="0.25">
      <c r="B16" s="3" t="s">
        <v>20</v>
      </c>
      <c r="C16" s="1" t="s">
        <v>10</v>
      </c>
      <c r="D16" s="1"/>
    </row>
    <row r="17" spans="2:4" x14ac:dyDescent="0.25">
      <c r="B17" s="3"/>
      <c r="C17" s="1"/>
      <c r="D17" s="1" t="s">
        <v>85</v>
      </c>
    </row>
    <row r="18" spans="2:4" x14ac:dyDescent="0.25">
      <c r="B18" s="3"/>
      <c r="C18" s="1"/>
      <c r="D18" s="1" t="s">
        <v>86</v>
      </c>
    </row>
    <row r="19" spans="2:4" x14ac:dyDescent="0.25">
      <c r="B19" s="3"/>
      <c r="C19" s="1"/>
      <c r="D19" s="1" t="s">
        <v>87</v>
      </c>
    </row>
    <row r="20" spans="2:4" x14ac:dyDescent="0.25">
      <c r="B20" s="3"/>
      <c r="C20" s="1"/>
      <c r="D20" s="1" t="s">
        <v>88</v>
      </c>
    </row>
    <row r="21" spans="2:4" x14ac:dyDescent="0.25">
      <c r="B21" s="3" t="s">
        <v>21</v>
      </c>
      <c r="C21" s="1" t="s">
        <v>11</v>
      </c>
      <c r="D21" s="1"/>
    </row>
    <row r="22" spans="2:4" x14ac:dyDescent="0.25">
      <c r="B22" s="3"/>
      <c r="C22" s="1"/>
      <c r="D22" s="1" t="s">
        <v>36</v>
      </c>
    </row>
    <row r="23" spans="2:4" x14ac:dyDescent="0.25">
      <c r="B23" s="3"/>
      <c r="C23" s="1"/>
      <c r="D23" s="1" t="s">
        <v>37</v>
      </c>
    </row>
    <row r="24" spans="2:4" x14ac:dyDescent="0.25">
      <c r="B24" s="3" t="s">
        <v>22</v>
      </c>
      <c r="C24" s="1" t="s">
        <v>12</v>
      </c>
      <c r="D24" s="1"/>
    </row>
    <row r="25" spans="2:4" x14ac:dyDescent="0.25">
      <c r="B25" s="3"/>
      <c r="C25" s="1"/>
      <c r="D25" s="1" t="s">
        <v>38</v>
      </c>
    </row>
    <row r="26" spans="2:4" x14ac:dyDescent="0.25">
      <c r="B26" s="3"/>
      <c r="C26" s="1"/>
      <c r="D26" s="1" t="s">
        <v>39</v>
      </c>
    </row>
    <row r="27" spans="2:4" x14ac:dyDescent="0.25">
      <c r="B27" s="3" t="s">
        <v>23</v>
      </c>
      <c r="C27" s="1" t="s">
        <v>13</v>
      </c>
      <c r="D27" s="1"/>
    </row>
    <row r="28" spans="2:4" x14ac:dyDescent="0.25">
      <c r="B28" s="3"/>
      <c r="C28" s="1" t="s">
        <v>13</v>
      </c>
      <c r="D28" s="1"/>
    </row>
    <row r="29" spans="2:4" x14ac:dyDescent="0.25">
      <c r="B29" s="3"/>
      <c r="C29" s="1"/>
      <c r="D29" s="1"/>
    </row>
    <row r="30" spans="2:4" x14ac:dyDescent="0.25">
      <c r="B30" s="3"/>
      <c r="C30" s="1"/>
      <c r="D30" s="1"/>
    </row>
    <row r="31" spans="2:4" x14ac:dyDescent="0.25">
      <c r="B31" s="3" t="s">
        <v>24</v>
      </c>
      <c r="C31" s="1" t="s">
        <v>14</v>
      </c>
      <c r="D31" s="1"/>
    </row>
    <row r="32" spans="2:4" x14ac:dyDescent="0.25">
      <c r="B32" s="3"/>
      <c r="C32" s="1"/>
      <c r="D32" s="1"/>
    </row>
    <row r="33" spans="2:4" x14ac:dyDescent="0.25">
      <c r="B33" s="3"/>
      <c r="C33" s="1"/>
      <c r="D33" s="1"/>
    </row>
    <row r="34" spans="2:4" x14ac:dyDescent="0.25">
      <c r="B34" s="3" t="s">
        <v>25</v>
      </c>
      <c r="C34" s="1" t="s">
        <v>15</v>
      </c>
      <c r="D34" s="1"/>
    </row>
    <row r="35" spans="2:4" x14ac:dyDescent="0.25">
      <c r="B35" s="3"/>
      <c r="C35" s="1"/>
      <c r="D35" s="1"/>
    </row>
    <row r="36" spans="2:4" x14ac:dyDescent="0.25">
      <c r="B36" s="3"/>
      <c r="C36" s="1"/>
      <c r="D36" s="1"/>
    </row>
    <row r="37" spans="2:4" x14ac:dyDescent="0.25">
      <c r="B37" s="3" t="s">
        <v>26</v>
      </c>
      <c r="C37" s="1" t="s">
        <v>16</v>
      </c>
      <c r="D37" s="1"/>
    </row>
    <row r="39" spans="2:4" x14ac:dyDescent="0.25">
      <c r="D39" s="1" t="s">
        <v>97</v>
      </c>
    </row>
    <row r="40" spans="2:4" x14ac:dyDescent="0.25">
      <c r="D40" s="1" t="s">
        <v>96</v>
      </c>
    </row>
    <row r="41" spans="2:4" x14ac:dyDescent="0.25">
      <c r="D41" s="1" t="s">
        <v>87</v>
      </c>
    </row>
    <row r="42" spans="2:4" x14ac:dyDescent="0.25">
      <c r="D42" s="1" t="s">
        <v>98</v>
      </c>
    </row>
    <row r="44" spans="2:4" x14ac:dyDescent="0.25">
      <c r="D44" s="1" t="s">
        <v>99</v>
      </c>
    </row>
    <row r="45" spans="2:4" x14ac:dyDescent="0.25">
      <c r="D45" s="1" t="s">
        <v>100</v>
      </c>
    </row>
    <row r="47" spans="2:4" x14ac:dyDescent="0.25">
      <c r="D47" t="s">
        <v>104</v>
      </c>
    </row>
    <row r="48" spans="2:4" x14ac:dyDescent="0.25">
      <c r="D48" t="s">
        <v>101</v>
      </c>
    </row>
    <row r="49" spans="4:4" x14ac:dyDescent="0.25">
      <c r="D49" t="s">
        <v>102</v>
      </c>
    </row>
    <row r="50" spans="4:4" x14ac:dyDescent="0.25">
      <c r="D50" t="s">
        <v>103</v>
      </c>
    </row>
  </sheetData>
  <mergeCells count="3">
    <mergeCell ref="B1:D1"/>
    <mergeCell ref="B2:D2"/>
    <mergeCell ref="B3:D3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Laporan</vt:lpstr>
      <vt:lpstr>Input</vt:lpstr>
      <vt:lpstr>combo</vt:lpstr>
      <vt:lpstr>Master</vt:lpstr>
      <vt:lpstr>Laporan!Print_Titles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Muchammad Nurul Arifin</dc:creator>
  <cp:lastModifiedBy>Muchammad Nurul Arifin</cp:lastModifiedBy>
  <cp:lastPrinted>2025-11-13T04:41:13Z</cp:lastPrinted>
  <dcterms:created xsi:type="dcterms:W3CDTF">2025-02-07T02:11:33Z</dcterms:created>
  <dcterms:modified xsi:type="dcterms:W3CDTF">2026-10-28T14:07:51Z</dcterms:modified>
</cp:coreProperties>
</file>