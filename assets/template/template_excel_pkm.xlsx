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Project\lap_bsc_v1\assets\template\"/>
    </mc:Choice>
  </mc:AlternateContent>
  <xr:revisionPtr revIDLastSave="0" documentId="13_ncr:1_{6400C17B-0484-418F-A2B5-37C1A1750F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poran" sheetId="1" r:id="rId1"/>
  </sheets>
  <definedNames>
    <definedName name="_xlnm.Print_Titles" localSheetId="0">Laporan!$1:$1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4" i="1" l="1"/>
  <c r="E39" i="1"/>
  <c r="E13" i="1"/>
  <c r="E2" i="1"/>
  <c r="D57" i="1" l="1"/>
  <c r="D52" i="1"/>
  <c r="D41" i="1"/>
  <c r="D39" i="1" l="1"/>
  <c r="D20" i="1"/>
  <c r="D15" i="1"/>
  <c r="D4" i="1"/>
  <c r="D13" i="1" l="1"/>
  <c r="D94" i="1"/>
  <c r="E91" i="1" l="1"/>
  <c r="E90" i="1"/>
  <c r="E93" i="1"/>
  <c r="E92" i="1"/>
  <c r="D77" i="1"/>
  <c r="D81" i="1"/>
  <c r="E94" i="1" l="1"/>
  <c r="E95" i="1" s="1"/>
  <c r="E86" i="1"/>
  <c r="D73" i="1"/>
  <c r="D66" i="1"/>
  <c r="D64" i="1" l="1"/>
  <c r="D2" i="1"/>
  <c r="D86" i="1" l="1"/>
</calcChain>
</file>

<file path=xl/sharedStrings.xml><?xml version="1.0" encoding="utf-8"?>
<sst xmlns="http://schemas.openxmlformats.org/spreadsheetml/2006/main" count="221" uniqueCount="183">
  <si>
    <t>KINERJA DARI PERSPEKTIF PERTUMBUHAN DAN PEMBELAJARAN</t>
  </si>
  <si>
    <t>1.1</t>
  </si>
  <si>
    <t>KINERJA ASPEK PELAYANAN</t>
  </si>
  <si>
    <t>1.1.1</t>
  </si>
  <si>
    <t>Sub Aspek Pertumbuhan Pembelajaran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</si>
  <si>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</si>
  <si>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</si>
  <si>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</si>
  <si>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</si>
  <si>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</si>
  <si>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</si>
  <si>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</si>
  <si>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</si>
  <si>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</si>
  <si>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</si>
  <si>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</si>
  <si>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2.1</t>
  </si>
  <si>
    <t>2.1.1</t>
  </si>
  <si>
    <t>Pertumbuhan Kunjungan Rawat Jalan</t>
  </si>
  <si>
    <t>Pertumbuhan Kunjungan Rawat Inap</t>
  </si>
  <si>
    <t>Sub Aspek Efektivitas Pelayanan</t>
  </si>
  <si>
    <t>3.1</t>
  </si>
  <si>
    <t>3.1.1</t>
  </si>
  <si>
    <t>KINERJA DARI PERSPEKTIF PROSES LAYANAN INTERNAL</t>
  </si>
  <si>
    <t>Sub Aspek Pertumbuhan Produktivitas</t>
  </si>
  <si>
    <t>KINERJA DARI PERSPEKTIF PELANGGAN</t>
  </si>
  <si>
    <t>KINERJA MUTU DAN MANFAAT BAGI MASYARAKAT</t>
  </si>
  <si>
    <t>SubAspek Mutu Layanan</t>
  </si>
  <si>
    <t>Emergency Response Time Rate</t>
  </si>
  <si>
    <t>Kepatuhan Kebersihan Tangan</t>
  </si>
  <si>
    <t>Kepatuhan Penggunaan Alat Pelindung Diri</t>
  </si>
  <si>
    <t>Kepatuhan identifikasi pasien</t>
  </si>
  <si>
    <t>l</t>
  </si>
  <si>
    <t>m</t>
  </si>
  <si>
    <t>n</t>
  </si>
  <si>
    <t>o</t>
  </si>
  <si>
    <t>p</t>
  </si>
  <si>
    <t>3.1.2</t>
  </si>
  <si>
    <t>2.1.2</t>
  </si>
  <si>
    <t>3.1.3</t>
  </si>
  <si>
    <t>KINERJA DARI PERSPEKTIF KEUANGAN</t>
  </si>
  <si>
    <t>4.1.1</t>
  </si>
  <si>
    <t>KINERJA MEMPEROLEH HASIL USAHA ATAU HASIL KERJA DARI LAYANAN YANG DIBERIKAN</t>
  </si>
  <si>
    <t>Periode Penagihan Piutang (Collection Period)</t>
  </si>
  <si>
    <t>Perputaran Aset Tetap (Fixed Asset Turnover)</t>
  </si>
  <si>
    <t>Perputaran Persediaan (Inventory Turnover)</t>
  </si>
  <si>
    <t>Imbalan atas Aset Tetap (Return on Fixed Asset)</t>
  </si>
  <si>
    <t>4.1.2</t>
  </si>
  <si>
    <t>KINERJA MEMENUHI SELURUH KEWAJIBAN JANGKA PENDEKNYA</t>
  </si>
  <si>
    <t>Rasio Kas (Cash Ratio)</t>
  </si>
  <si>
    <t>Rasio Lancar (Current Ratio)</t>
  </si>
  <si>
    <t>4.1.3</t>
  </si>
  <si>
    <t>KINERJA MEMENUHI SELURUH KEWAJIBAN</t>
  </si>
  <si>
    <t>Rasio Kewajiban terhadap Aset</t>
  </si>
  <si>
    <t>Rasio Kewajiban terhadap Ekuitas</t>
  </si>
  <si>
    <t>4.1.4</t>
  </si>
  <si>
    <t>KINERJA KEMAMPUAN PENERIMAAN DARI JASA LAYANAN UNTUK MEMBIAYAI PENGELUARAN</t>
  </si>
  <si>
    <t>Porsi Pendapatan APBD-LO dibandingkan pendapatan non APBD-LO</t>
  </si>
  <si>
    <t>NO</t>
  </si>
  <si>
    <t>ASPEK KINERJA</t>
  </si>
  <si>
    <t>Rekapitulasi Nilai</t>
  </si>
  <si>
    <t>PERSPEKTIF</t>
  </si>
  <si>
    <t>TARGET</t>
  </si>
  <si>
    <t>Pertumbuhan dan Pembelajaran</t>
  </si>
  <si>
    <t>Proses Layanan Internal</t>
  </si>
  <si>
    <t>Pelanggan</t>
  </si>
  <si>
    <t>Keuangan</t>
  </si>
  <si>
    <t>Total Nilai</t>
  </si>
  <si>
    <t>Kriteria</t>
  </si>
  <si>
    <t>Pelayanan Kesehatan Lingkungan</t>
  </si>
  <si>
    <t>Kawasan Tanpa Rokok</t>
  </si>
  <si>
    <t>Manajemen Umum Puskesmas</t>
  </si>
  <si>
    <t>Manajemen Pemberdayaan Masyarakat</t>
  </si>
  <si>
    <t>Manajemen Data dan Informasi</t>
  </si>
  <si>
    <t>Manajemen Mutu</t>
  </si>
  <si>
    <t>Pertumbuhan Pemeriksaan Laboratorium di Puskesmas</t>
  </si>
  <si>
    <t>Pelayanan Kesehatan Ibu Hamil</t>
  </si>
  <si>
    <t>Pelayanan Kesehatan Bayi Baru Lahir</t>
  </si>
  <si>
    <t>Pelayanan Kesehatan Balita</t>
  </si>
  <si>
    <t>Pelayanan Kesehatan pada Usia Produktif</t>
  </si>
  <si>
    <t>Pelayanan Promosi Kesehatan</t>
  </si>
  <si>
    <t>Pelayanan Gizi</t>
  </si>
  <si>
    <t>Pelayanan Kesehatan pada Usia Lanjut</t>
  </si>
  <si>
    <t>Pelayanan Kesehatan Penderita Diabetes Melitus</t>
  </si>
  <si>
    <t>Waktu Tunggu Hasil Laboratorium Pemeriksaan HB</t>
  </si>
  <si>
    <t>SubAspek Kepedulian pada Masyarakat dan Pelanggan</t>
  </si>
  <si>
    <t>Penanganan Pengaduan/Komplain</t>
  </si>
  <si>
    <t>Mutu Farmasi di Puskesmas</t>
  </si>
  <si>
    <t>SubAspek Kepedulian terhadap Lingkungan</t>
  </si>
  <si>
    <t>SKOR MAKSIMAL PUSKESMAS NON RAWAT INAP</t>
  </si>
  <si>
    <t>Manajemen Sumber Daya Puskesmas (BMD)</t>
  </si>
  <si>
    <t>Manajemen Sumber Daya Manusia Puskesmas (SDM)</t>
  </si>
  <si>
    <t>Manajemen Keuangan dan BMD</t>
  </si>
  <si>
    <t>Pelayanan Kesehatan Ibu Bersalin dan Angka Kematian Ibu</t>
  </si>
  <si>
    <t>Pelayanan Kesehatan pada Usia Pendidikan Dasar</t>
  </si>
  <si>
    <t>Pelayanan Kesehatan Penderita Hipertensi</t>
  </si>
  <si>
    <t>Pelayanan Kesehatan orang Dengan Gangguan Jiwa (ODGJ) Berat</t>
  </si>
  <si>
    <t xml:space="preserve">Pelayanan Kesehatan Tradisional </t>
  </si>
  <si>
    <t>Jumlah orang yang Mendapat Puskesmas</t>
  </si>
  <si>
    <t>Jumlah desa kelurahan binaan yang mendapatkan asuhan keperawatan</t>
  </si>
  <si>
    <t>q</t>
  </si>
  <si>
    <t>Pelayanan Kesehatan Orang Dengan Risiko Terinfeksi Virus yang Melemahkan Daya Tahan Tubuh Manusia (Human Immunodeficiency Virus/HIV)</t>
  </si>
  <si>
    <t>Length Of Stay Non BPJS</t>
  </si>
  <si>
    <t>Lenght of Stay BPJS</t>
  </si>
  <si>
    <r>
      <t xml:space="preserve">Angka Kematian </t>
    </r>
    <r>
      <rPr>
        <sz val="11"/>
        <color rgb="FF000000"/>
        <rFont val="Calibri"/>
        <family val="2"/>
      </rPr>
      <t>≥ 48 Jam</t>
    </r>
  </si>
  <si>
    <t>Angka kesembuhan pasien TB</t>
  </si>
  <si>
    <t>Kepuasan pasien</t>
  </si>
  <si>
    <t xml:space="preserve">Pengolahan Air Limbah </t>
  </si>
  <si>
    <t>Pengolahan Limbah Infeksius</t>
  </si>
  <si>
    <t>SKOR KINERJA NONKEUANGAN</t>
  </si>
  <si>
    <t>Imbalan Ekuitas (Return on Equity)</t>
  </si>
  <si>
    <t>Rasio Pendapatan BLUD non APBD terhadap Biaya Operasional / Cost Recovery Rate</t>
  </si>
  <si>
    <t>NILAI NON RAWAT INAP</t>
  </si>
  <si>
    <t>REALISASI SKOR PUSKESMAS NON RAWAT INAP</t>
  </si>
  <si>
    <t>$skor_111_A_Total</t>
  </si>
  <si>
    <t>$skor_111_B_Total</t>
  </si>
  <si>
    <t>$skor_111_C_Total</t>
  </si>
  <si>
    <t>$skor_111_D_Total</t>
  </si>
  <si>
    <t>$subTotal_111_E</t>
  </si>
  <si>
    <t>$subTotal_111_F</t>
  </si>
  <si>
    <t>$subTotal_111_G</t>
  </si>
  <si>
    <t>$skor_11_Total</t>
  </si>
  <si>
    <t>$skor_111_Total</t>
  </si>
  <si>
    <t>$skor_21_Total</t>
  </si>
  <si>
    <t>$skor_211_Total</t>
  </si>
  <si>
    <t>$subTotal_211_A</t>
  </si>
  <si>
    <t>$subTotal_211_B</t>
  </si>
  <si>
    <t>$subTotal_211_C</t>
  </si>
  <si>
    <t>$skor_212_Total</t>
  </si>
  <si>
    <t>$skor_31_Total</t>
  </si>
  <si>
    <t>$skor_311_Total</t>
  </si>
  <si>
    <t>$skor_312_Total</t>
  </si>
  <si>
    <t>$skor_313_Total</t>
  </si>
  <si>
    <t>4.1</t>
  </si>
  <si>
    <t>KINERJA PERSPEKTIF KEUANGAN</t>
  </si>
  <si>
    <t>$skor_41_Total</t>
  </si>
  <si>
    <t>$skor_411_Total</t>
  </si>
  <si>
    <t>$skor_412_Total</t>
  </si>
  <si>
    <t>$skor_413_Total</t>
  </si>
  <si>
    <t>$skor_414_Total</t>
  </si>
  <si>
    <t>$skor_212_B_Total</t>
  </si>
  <si>
    <t>$skor_212_I_Total</t>
  </si>
  <si>
    <t>$subTotal_212_A</t>
  </si>
  <si>
    <t>$subTotal_212_C</t>
  </si>
  <si>
    <t>$subTotal_212_D</t>
  </si>
  <si>
    <t>$subTotal_212_E</t>
  </si>
  <si>
    <t>$subTotal_212_F</t>
  </si>
  <si>
    <t>$subTotal_212_G</t>
  </si>
  <si>
    <t>$subTotal_212_H</t>
  </si>
  <si>
    <t>$subTotal_212_J</t>
  </si>
  <si>
    <t>$subTotal_212_K</t>
  </si>
  <si>
    <t>$subTotal_212_L</t>
  </si>
  <si>
    <t>$subTotal_212_M</t>
  </si>
  <si>
    <t>$subTotal_212_N</t>
  </si>
  <si>
    <t>$subTotal_212_O</t>
  </si>
  <si>
    <t>$subTotal_212_P</t>
  </si>
  <si>
    <t>$subTotal_212_Q</t>
  </si>
  <si>
    <t>$skor_311_I_Total</t>
  </si>
  <si>
    <t>$subTotal_311_A</t>
  </si>
  <si>
    <t>$subTotal_311_B</t>
  </si>
  <si>
    <t>$subTotal_311_C</t>
  </si>
  <si>
    <t>$subTotal_311_D</t>
  </si>
  <si>
    <t>$subTotal_311_E</t>
  </si>
  <si>
    <t>$subTotal_311_F</t>
  </si>
  <si>
    <t>$subTotal_311_G</t>
  </si>
  <si>
    <t>$subTotal_311_H</t>
  </si>
  <si>
    <t>$skor_312_C_Total</t>
  </si>
  <si>
    <t>$subTotal_312_A</t>
  </si>
  <si>
    <t>$subTotal_312_B</t>
  </si>
  <si>
    <t>$subTotal_313_A</t>
  </si>
  <si>
    <t>$subTotal_313_B</t>
  </si>
  <si>
    <t>$subTotal_313_C</t>
  </si>
  <si>
    <t>$subTotal_411_A</t>
  </si>
  <si>
    <t>$subTotal_411_B</t>
  </si>
  <si>
    <t>$subTotal_411_C</t>
  </si>
  <si>
    <t>$subTotal_411_D</t>
  </si>
  <si>
    <t>$subTotal_411_E</t>
  </si>
  <si>
    <t>$subTotal_412_A</t>
  </si>
  <si>
    <t>$subTotal_412_B</t>
  </si>
  <si>
    <t>$subTotal_413_A</t>
  </si>
  <si>
    <t>$subTotal_413_B</t>
  </si>
  <si>
    <t>$subTotal_414_A</t>
  </si>
  <si>
    <t>$subTotal_414_B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</si>
</sst>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5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0" fillId="0" borderId="7" xfId="0" applyBorder="1"/>
    <xf numFmtId="0" fontId="4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topLeftCell="A70" workbookViewId="0">
      <selection activeCell="E82" sqref="E82:E83"/>
    </sheetView>
  </sheetViews>
  <sheetFormatPr defaultRowHeight="15" x14ac:dyDescent="0.25"/>
  <cols>
    <col min="1" max="1" width="5.85546875" customWidth="1"/>
    <col min="2" max="2" width="3.42578125" customWidth="1"/>
    <col min="3" max="3" width="51" bestFit="1" customWidth="1"/>
    <col min="4" max="4" width="13.85546875" customWidth="1"/>
    <col min="5" max="5" width="17.7109375" style="1" bestFit="1" customWidth="1"/>
  </cols>
  <sheetData>
    <row r="1" spans="1:5" s="1" customFormat="1" ht="74.25" customHeight="1" x14ac:dyDescent="0.25">
      <c r="A1" s="3" t="s">
        <v>58</v>
      </c>
      <c r="B1" s="57" t="s">
        <v>59</v>
      </c>
      <c r="C1" s="57"/>
      <c r="D1" s="4" t="s">
        <v>89</v>
      </c>
      <c r="E1" s="4" t="s">
        <v>113</v>
      </c>
    </row>
    <row r="2" spans="1:5" ht="36.6" customHeight="1" x14ac:dyDescent="0.25">
      <c r="A2" s="5">
        <v>1</v>
      </c>
      <c r="B2" s="54" t="s">
        <v>0</v>
      </c>
      <c r="C2" s="54"/>
      <c r="D2" s="4">
        <f>D4</f>
        <v>20</v>
      </c>
      <c r="E2" s="58">
        <f>IF(ISTEXT(E3),0,E3)</f>
        <v>0</v>
      </c>
    </row>
    <row r="3" spans="1:5" x14ac:dyDescent="0.25">
      <c r="A3" s="5" t="s">
        <v>1</v>
      </c>
      <c r="B3" s="53" t="s">
        <v>2</v>
      </c>
      <c r="C3" s="53"/>
      <c r="D3" s="6"/>
      <c r="E3" s="41" t="s">
        <v>121</v>
      </c>
    </row>
    <row r="4" spans="1:5" x14ac:dyDescent="0.25">
      <c r="A4" s="5" t="s">
        <v>3</v>
      </c>
      <c r="B4" s="53" t="s">
        <v>4</v>
      </c>
      <c r="C4" s="53"/>
      <c r="D4" s="26">
        <f>SUM(D5:D11)</f>
        <v>20</v>
      </c>
      <c r="E4" s="41" t="s">
        <v>122</v>
      </c>
    </row>
    <row r="5" spans="1:5" x14ac:dyDescent="0.25">
      <c r="A5" s="6"/>
      <c r="B5" s="7" t="s">
        <v>5</v>
      </c>
      <c r="C5" s="8" t="s">
        <v>71</v>
      </c>
      <c r="D5" s="7">
        <v>3</v>
      </c>
      <c r="E5" s="7" t="s">
        <v>114</v>
      </c>
    </row>
    <row r="6" spans="1:5" x14ac:dyDescent="0.25">
      <c r="A6" s="6"/>
      <c r="B6" s="7" t="s">
        <v>6</v>
      </c>
      <c r="C6" s="8" t="s">
        <v>90</v>
      </c>
      <c r="D6" s="7">
        <v>3</v>
      </c>
      <c r="E6" s="7" t="s">
        <v>115</v>
      </c>
    </row>
    <row r="7" spans="1:5" ht="30" x14ac:dyDescent="0.25">
      <c r="A7" s="6"/>
      <c r="B7" s="7" t="s">
        <v>7</v>
      </c>
      <c r="C7" s="9" t="s">
        <v>91</v>
      </c>
      <c r="D7" s="7">
        <v>3</v>
      </c>
      <c r="E7" s="7" t="s">
        <v>116</v>
      </c>
    </row>
    <row r="8" spans="1:5" x14ac:dyDescent="0.25">
      <c r="A8" s="6"/>
      <c r="B8" s="7" t="s">
        <v>8</v>
      </c>
      <c r="C8" s="8" t="s">
        <v>92</v>
      </c>
      <c r="D8" s="7">
        <v>3</v>
      </c>
      <c r="E8" s="7" t="s">
        <v>117</v>
      </c>
    </row>
    <row r="9" spans="1:5" x14ac:dyDescent="0.25">
      <c r="A9" s="6"/>
      <c r="B9" s="7" t="s">
        <v>9</v>
      </c>
      <c r="C9" s="8" t="s">
        <v>72</v>
      </c>
      <c r="D9" s="7">
        <v>3</v>
      </c>
      <c r="E9" s="7" t="s">
        <v>118</v>
      </c>
    </row>
    <row r="10" spans="1:5" x14ac:dyDescent="0.25">
      <c r="A10" s="6"/>
      <c r="B10" s="7" t="s">
        <v>10</v>
      </c>
      <c r="C10" s="9" t="s">
        <v>73</v>
      </c>
      <c r="D10" s="7">
        <v>2</v>
      </c>
      <c r="E10" s="7" t="s">
        <v>119</v>
      </c>
    </row>
    <row r="11" spans="1:5" x14ac:dyDescent="0.25">
      <c r="A11" s="6"/>
      <c r="B11" s="7" t="s">
        <v>11</v>
      </c>
      <c r="C11" s="8" t="s">
        <v>74</v>
      </c>
      <c r="D11" s="7">
        <v>3</v>
      </c>
      <c r="E11" s="7" t="s">
        <v>120</v>
      </c>
    </row>
    <row r="12" spans="1:5" x14ac:dyDescent="0.25">
      <c r="A12" s="14"/>
      <c r="B12" s="15"/>
      <c r="C12" s="16"/>
      <c r="D12" s="6"/>
      <c r="E12" s="7"/>
    </row>
    <row r="13" spans="1:5" ht="15" customHeight="1" x14ac:dyDescent="0.25">
      <c r="A13" s="5">
        <v>2</v>
      </c>
      <c r="B13" s="54" t="s">
        <v>23</v>
      </c>
      <c r="C13" s="54"/>
      <c r="D13" s="4">
        <f>D15+D20</f>
        <v>35</v>
      </c>
      <c r="E13" s="58">
        <f>IF(ISTEXT(E14),0,E14)</f>
        <v>0</v>
      </c>
    </row>
    <row r="14" spans="1:5" x14ac:dyDescent="0.25">
      <c r="A14" s="5" t="s">
        <v>16</v>
      </c>
      <c r="B14" s="53" t="s">
        <v>2</v>
      </c>
      <c r="C14" s="53"/>
      <c r="D14" s="6"/>
      <c r="E14" s="41" t="s">
        <v>123</v>
      </c>
    </row>
    <row r="15" spans="1:5" x14ac:dyDescent="0.25">
      <c r="A15" s="5" t="s">
        <v>17</v>
      </c>
      <c r="B15" s="53" t="s">
        <v>24</v>
      </c>
      <c r="C15" s="53"/>
      <c r="D15" s="26">
        <f>SUM(D16:D18)</f>
        <v>6</v>
      </c>
      <c r="E15" s="41" t="s">
        <v>124</v>
      </c>
    </row>
    <row r="16" spans="1:5" x14ac:dyDescent="0.25">
      <c r="A16" s="6"/>
      <c r="B16" s="7" t="s">
        <v>5</v>
      </c>
      <c r="C16" s="8" t="s">
        <v>18</v>
      </c>
      <c r="D16" s="7">
        <v>3</v>
      </c>
      <c r="E16" s="7" t="s">
        <v>125</v>
      </c>
    </row>
    <row r="17" spans="1:5" x14ac:dyDescent="0.25">
      <c r="A17" s="6"/>
      <c r="B17" s="7" t="s">
        <v>6</v>
      </c>
      <c r="C17" s="8" t="s">
        <v>19</v>
      </c>
      <c r="D17" s="7">
        <v>0</v>
      </c>
      <c r="E17" s="7" t="s">
        <v>126</v>
      </c>
    </row>
    <row r="18" spans="1:5" x14ac:dyDescent="0.25">
      <c r="A18" s="6"/>
      <c r="B18" s="7" t="s">
        <v>7</v>
      </c>
      <c r="C18" s="8" t="s">
        <v>75</v>
      </c>
      <c r="D18" s="7">
        <v>3</v>
      </c>
      <c r="E18" s="7" t="s">
        <v>127</v>
      </c>
    </row>
    <row r="19" spans="1:5" x14ac:dyDescent="0.25">
      <c r="A19" s="14"/>
      <c r="B19" s="15"/>
      <c r="C19" s="16"/>
      <c r="D19" s="6"/>
      <c r="E19" s="7"/>
    </row>
    <row r="20" spans="1:5" ht="14.45" customHeight="1" x14ac:dyDescent="0.25">
      <c r="A20" s="5" t="s">
        <v>38</v>
      </c>
      <c r="B20" s="53" t="s">
        <v>20</v>
      </c>
      <c r="C20" s="53"/>
      <c r="D20" s="26">
        <f>SUM(D21:D37)</f>
        <v>29</v>
      </c>
      <c r="E20" s="41" t="s">
        <v>128</v>
      </c>
    </row>
    <row r="21" spans="1:5" x14ac:dyDescent="0.25">
      <c r="A21" s="6"/>
      <c r="B21" s="7" t="s">
        <v>5</v>
      </c>
      <c r="C21" s="10" t="s">
        <v>76</v>
      </c>
      <c r="D21" s="7">
        <v>2</v>
      </c>
      <c r="E21" s="7" t="s">
        <v>142</v>
      </c>
    </row>
    <row r="22" spans="1:5" ht="30" x14ac:dyDescent="0.25">
      <c r="A22" s="6"/>
      <c r="B22" s="7" t="s">
        <v>6</v>
      </c>
      <c r="C22" s="10" t="s">
        <v>93</v>
      </c>
      <c r="D22" s="7">
        <v>2</v>
      </c>
      <c r="E22" s="7" t="s">
        <v>140</v>
      </c>
    </row>
    <row r="23" spans="1:5" x14ac:dyDescent="0.25">
      <c r="A23" s="6"/>
      <c r="B23" s="7" t="s">
        <v>7</v>
      </c>
      <c r="C23" s="8" t="s">
        <v>77</v>
      </c>
      <c r="D23" s="7">
        <v>2</v>
      </c>
      <c r="E23" s="7" t="s">
        <v>143</v>
      </c>
    </row>
    <row r="24" spans="1:5" x14ac:dyDescent="0.25">
      <c r="A24" s="6"/>
      <c r="B24" s="7" t="s">
        <v>8</v>
      </c>
      <c r="C24" s="8" t="s">
        <v>78</v>
      </c>
      <c r="D24" s="7">
        <v>2</v>
      </c>
      <c r="E24" s="7" t="s">
        <v>144</v>
      </c>
    </row>
    <row r="25" spans="1:5" ht="30" x14ac:dyDescent="0.25">
      <c r="A25" s="6"/>
      <c r="B25" s="7" t="s">
        <v>9</v>
      </c>
      <c r="C25" s="10" t="s">
        <v>94</v>
      </c>
      <c r="D25" s="7">
        <v>2</v>
      </c>
      <c r="E25" s="7" t="s">
        <v>145</v>
      </c>
    </row>
    <row r="26" spans="1:5" x14ac:dyDescent="0.25">
      <c r="A26" s="6"/>
      <c r="B26" s="7" t="s">
        <v>10</v>
      </c>
      <c r="C26" s="8" t="s">
        <v>79</v>
      </c>
      <c r="D26" s="7">
        <v>2</v>
      </c>
      <c r="E26" s="7" t="s">
        <v>146</v>
      </c>
    </row>
    <row r="27" spans="1:5" x14ac:dyDescent="0.25">
      <c r="A27" s="6"/>
      <c r="B27" s="7" t="s">
        <v>11</v>
      </c>
      <c r="C27" s="8" t="s">
        <v>80</v>
      </c>
      <c r="D27" s="7">
        <v>1.5</v>
      </c>
      <c r="E27" s="7" t="s">
        <v>147</v>
      </c>
    </row>
    <row r="28" spans="1:5" x14ac:dyDescent="0.25">
      <c r="A28" s="6"/>
      <c r="B28" s="7" t="s">
        <v>12</v>
      </c>
      <c r="C28" s="9" t="s">
        <v>69</v>
      </c>
      <c r="D28" s="7">
        <v>1.5</v>
      </c>
      <c r="E28" s="7" t="s">
        <v>148</v>
      </c>
    </row>
    <row r="29" spans="1:5" x14ac:dyDescent="0.25">
      <c r="A29" s="6"/>
      <c r="B29" s="7" t="s">
        <v>13</v>
      </c>
      <c r="C29" s="8" t="s">
        <v>81</v>
      </c>
      <c r="D29" s="7">
        <v>1.5</v>
      </c>
      <c r="E29" s="7" t="s">
        <v>141</v>
      </c>
    </row>
    <row r="30" spans="1:5" x14ac:dyDescent="0.25">
      <c r="A30" s="6"/>
      <c r="B30" s="7" t="s">
        <v>14</v>
      </c>
      <c r="C30" s="8" t="s">
        <v>82</v>
      </c>
      <c r="D30" s="7">
        <v>2</v>
      </c>
      <c r="E30" s="7" t="s">
        <v>149</v>
      </c>
    </row>
    <row r="31" spans="1:5" x14ac:dyDescent="0.25">
      <c r="A31" s="6"/>
      <c r="B31" s="7" t="s">
        <v>15</v>
      </c>
      <c r="C31" s="8" t="s">
        <v>95</v>
      </c>
      <c r="D31" s="7">
        <v>2</v>
      </c>
      <c r="E31" s="7" t="s">
        <v>150</v>
      </c>
    </row>
    <row r="32" spans="1:5" ht="26.25" customHeight="1" x14ac:dyDescent="0.25">
      <c r="A32" s="14"/>
      <c r="B32" s="7" t="s">
        <v>32</v>
      </c>
      <c r="C32" s="10" t="s">
        <v>83</v>
      </c>
      <c r="D32" s="7">
        <v>2</v>
      </c>
      <c r="E32" s="7" t="s">
        <v>151</v>
      </c>
    </row>
    <row r="33" spans="1:5" ht="30" x14ac:dyDescent="0.25">
      <c r="A33" s="14"/>
      <c r="B33" s="7" t="s">
        <v>33</v>
      </c>
      <c r="C33" s="10" t="s">
        <v>96</v>
      </c>
      <c r="D33" s="7">
        <v>2</v>
      </c>
      <c r="E33" s="7" t="s">
        <v>152</v>
      </c>
    </row>
    <row r="34" spans="1:5" ht="60" x14ac:dyDescent="0.25">
      <c r="A34" s="14"/>
      <c r="B34" s="7" t="s">
        <v>34</v>
      </c>
      <c r="C34" s="10" t="s">
        <v>101</v>
      </c>
      <c r="D34" s="7">
        <v>2</v>
      </c>
      <c r="E34" s="7" t="s">
        <v>153</v>
      </c>
    </row>
    <row r="35" spans="1:5" x14ac:dyDescent="0.25">
      <c r="A35" s="14"/>
      <c r="B35" s="7" t="s">
        <v>35</v>
      </c>
      <c r="C35" s="27" t="s">
        <v>97</v>
      </c>
      <c r="D35" s="7">
        <v>0.5</v>
      </c>
      <c r="E35" s="7" t="s">
        <v>154</v>
      </c>
    </row>
    <row r="36" spans="1:5" x14ac:dyDescent="0.25">
      <c r="A36" s="14"/>
      <c r="B36" s="7" t="s">
        <v>36</v>
      </c>
      <c r="C36" s="27" t="s">
        <v>98</v>
      </c>
      <c r="D36" s="7">
        <v>1</v>
      </c>
      <c r="E36" s="7" t="s">
        <v>155</v>
      </c>
    </row>
    <row r="37" spans="1:5" ht="30" x14ac:dyDescent="0.25">
      <c r="A37" s="6"/>
      <c r="B37" s="18" t="s">
        <v>100</v>
      </c>
      <c r="C37" s="10" t="s">
        <v>99</v>
      </c>
      <c r="D37" s="7">
        <v>1</v>
      </c>
      <c r="E37" s="7" t="s">
        <v>156</v>
      </c>
    </row>
    <row r="38" spans="1:5" x14ac:dyDescent="0.25">
      <c r="A38" s="14"/>
      <c r="B38" s="15"/>
      <c r="C38" s="16"/>
      <c r="D38" s="7"/>
      <c r="E38" s="7"/>
    </row>
    <row r="39" spans="1:5" s="2" customFormat="1" ht="14.45" customHeight="1" x14ac:dyDescent="0.25">
      <c r="A39" s="20">
        <v>3</v>
      </c>
      <c r="B39" s="54" t="s">
        <v>25</v>
      </c>
      <c r="C39" s="54"/>
      <c r="D39" s="4">
        <f>D41+D52+D57</f>
        <v>25</v>
      </c>
      <c r="E39" s="58">
        <f>IF(ISTEXT(E40),0,E40)</f>
        <v>0</v>
      </c>
    </row>
    <row r="40" spans="1:5" s="2" customFormat="1" x14ac:dyDescent="0.25">
      <c r="A40" s="20" t="s">
        <v>21</v>
      </c>
      <c r="B40" s="53" t="s">
        <v>26</v>
      </c>
      <c r="C40" s="53"/>
      <c r="D40" s="21"/>
      <c r="E40" s="41" t="s">
        <v>129</v>
      </c>
    </row>
    <row r="41" spans="1:5" s="2" customFormat="1" x14ac:dyDescent="0.25">
      <c r="A41" s="20" t="s">
        <v>22</v>
      </c>
      <c r="B41" s="53" t="s">
        <v>27</v>
      </c>
      <c r="C41" s="53"/>
      <c r="D41" s="34">
        <f>SUM(D42:D50)</f>
        <v>17.5</v>
      </c>
      <c r="E41" s="41" t="s">
        <v>130</v>
      </c>
    </row>
    <row r="42" spans="1:5" x14ac:dyDescent="0.25">
      <c r="A42" s="6"/>
      <c r="B42" s="7" t="s">
        <v>5</v>
      </c>
      <c r="C42" s="11" t="s">
        <v>28</v>
      </c>
      <c r="D42" s="7">
        <v>3</v>
      </c>
      <c r="E42" s="7" t="s">
        <v>158</v>
      </c>
    </row>
    <row r="43" spans="1:5" x14ac:dyDescent="0.25">
      <c r="A43" s="6"/>
      <c r="B43" s="7" t="s">
        <v>6</v>
      </c>
      <c r="C43" s="12" t="s">
        <v>102</v>
      </c>
      <c r="D43" s="7">
        <v>0</v>
      </c>
      <c r="E43" s="7" t="s">
        <v>159</v>
      </c>
    </row>
    <row r="44" spans="1:5" x14ac:dyDescent="0.25">
      <c r="A44" s="6"/>
      <c r="B44" s="7" t="s">
        <v>7</v>
      </c>
      <c r="C44" s="11" t="s">
        <v>103</v>
      </c>
      <c r="D44" s="7">
        <v>0</v>
      </c>
      <c r="E44" s="7" t="s">
        <v>160</v>
      </c>
    </row>
    <row r="45" spans="1:5" ht="30" x14ac:dyDescent="0.25">
      <c r="A45" s="6"/>
      <c r="B45" s="7" t="s">
        <v>8</v>
      </c>
      <c r="C45" s="10" t="s">
        <v>84</v>
      </c>
      <c r="D45" s="7">
        <v>3</v>
      </c>
      <c r="E45" s="7" t="s">
        <v>161</v>
      </c>
    </row>
    <row r="46" spans="1:5" x14ac:dyDescent="0.25">
      <c r="A46" s="6"/>
      <c r="B46" s="7" t="s">
        <v>9</v>
      </c>
      <c r="C46" s="13" t="s">
        <v>29</v>
      </c>
      <c r="D46" s="7">
        <v>3</v>
      </c>
      <c r="E46" s="7" t="s">
        <v>162</v>
      </c>
    </row>
    <row r="47" spans="1:5" x14ac:dyDescent="0.25">
      <c r="A47" s="6"/>
      <c r="B47" s="7" t="s">
        <v>10</v>
      </c>
      <c r="C47" s="12" t="s">
        <v>30</v>
      </c>
      <c r="D47" s="7">
        <v>3</v>
      </c>
      <c r="E47" s="7" t="s">
        <v>163</v>
      </c>
    </row>
    <row r="48" spans="1:5" x14ac:dyDescent="0.25">
      <c r="A48" s="6"/>
      <c r="B48" s="7" t="s">
        <v>11</v>
      </c>
      <c r="C48" s="12" t="s">
        <v>31</v>
      </c>
      <c r="D48" s="7">
        <v>3</v>
      </c>
      <c r="E48" s="7" t="s">
        <v>164</v>
      </c>
    </row>
    <row r="49" spans="1:5" x14ac:dyDescent="0.25">
      <c r="A49" s="6"/>
      <c r="B49" s="7" t="s">
        <v>12</v>
      </c>
      <c r="C49" s="12" t="s">
        <v>104</v>
      </c>
      <c r="D49" s="7">
        <v>0</v>
      </c>
      <c r="E49" s="7" t="s">
        <v>165</v>
      </c>
    </row>
    <row r="50" spans="1:5" x14ac:dyDescent="0.25">
      <c r="A50" s="6"/>
      <c r="B50" s="7" t="s">
        <v>13</v>
      </c>
      <c r="C50" s="12" t="s">
        <v>105</v>
      </c>
      <c r="D50" s="7">
        <v>2.5</v>
      </c>
      <c r="E50" s="7" t="s">
        <v>157</v>
      </c>
    </row>
    <row r="51" spans="1:5" x14ac:dyDescent="0.25">
      <c r="A51" s="14"/>
      <c r="B51" s="15"/>
      <c r="C51" s="16"/>
      <c r="D51" s="7"/>
      <c r="E51" s="7"/>
    </row>
    <row r="52" spans="1:5" ht="33" customHeight="1" x14ac:dyDescent="0.25">
      <c r="A52" s="20" t="s">
        <v>37</v>
      </c>
      <c r="B52" s="55" t="s">
        <v>85</v>
      </c>
      <c r="C52" s="56"/>
      <c r="D52" s="21">
        <f>SUM(D53:D55)</f>
        <v>4.5</v>
      </c>
      <c r="E52" s="41" t="s">
        <v>131</v>
      </c>
    </row>
    <row r="53" spans="1:5" x14ac:dyDescent="0.25">
      <c r="A53" s="6"/>
      <c r="B53" s="7" t="s">
        <v>5</v>
      </c>
      <c r="C53" s="8" t="s">
        <v>86</v>
      </c>
      <c r="D53" s="7">
        <v>1.5</v>
      </c>
      <c r="E53" s="7" t="s">
        <v>167</v>
      </c>
    </row>
    <row r="54" spans="1:5" x14ac:dyDescent="0.25">
      <c r="A54" s="6"/>
      <c r="B54" s="7" t="s">
        <v>6</v>
      </c>
      <c r="C54" s="8" t="s">
        <v>106</v>
      </c>
      <c r="D54" s="7">
        <v>1.5</v>
      </c>
      <c r="E54" s="7" t="s">
        <v>168</v>
      </c>
    </row>
    <row r="55" spans="1:5" x14ac:dyDescent="0.25">
      <c r="A55" s="6"/>
      <c r="B55" s="7" t="s">
        <v>7</v>
      </c>
      <c r="C55" s="8" t="s">
        <v>87</v>
      </c>
      <c r="D55" s="7">
        <v>1.5</v>
      </c>
      <c r="E55" s="7" t="s">
        <v>166</v>
      </c>
    </row>
    <row r="56" spans="1:5" x14ac:dyDescent="0.25">
      <c r="A56" s="14"/>
      <c r="B56" s="15"/>
      <c r="C56" s="16"/>
      <c r="D56" s="7"/>
      <c r="E56" s="7"/>
    </row>
    <row r="57" spans="1:5" x14ac:dyDescent="0.25">
      <c r="A57" s="20" t="s">
        <v>39</v>
      </c>
      <c r="B57" s="53" t="s">
        <v>88</v>
      </c>
      <c r="C57" s="53"/>
      <c r="D57" s="21">
        <f>SUM(D58:D60)</f>
        <v>3</v>
      </c>
      <c r="E57" s="41" t="s">
        <v>132</v>
      </c>
    </row>
    <row r="58" spans="1:5" x14ac:dyDescent="0.25">
      <c r="A58" s="6"/>
      <c r="B58" s="7" t="s">
        <v>5</v>
      </c>
      <c r="C58" s="8" t="s">
        <v>107</v>
      </c>
      <c r="D58" s="7">
        <v>1</v>
      </c>
      <c r="E58" s="7" t="s">
        <v>169</v>
      </c>
    </row>
    <row r="59" spans="1:5" s="2" customFormat="1" x14ac:dyDescent="0.25">
      <c r="A59" s="6"/>
      <c r="B59" s="7" t="s">
        <v>6</v>
      </c>
      <c r="C59" s="8" t="s">
        <v>108</v>
      </c>
      <c r="D59" s="7">
        <v>1</v>
      </c>
      <c r="E59" s="7" t="s">
        <v>170</v>
      </c>
    </row>
    <row r="60" spans="1:5" x14ac:dyDescent="0.25">
      <c r="A60" s="6"/>
      <c r="B60" s="7" t="s">
        <v>7</v>
      </c>
      <c r="C60" s="8" t="s">
        <v>70</v>
      </c>
      <c r="D60" s="7">
        <v>1</v>
      </c>
      <c r="E60" s="7" t="s">
        <v>171</v>
      </c>
    </row>
    <row r="61" spans="1:5" x14ac:dyDescent="0.25">
      <c r="A61" s="14"/>
      <c r="B61" s="18"/>
      <c r="C61" s="29"/>
      <c r="D61" s="7"/>
      <c r="E61" s="7"/>
    </row>
    <row r="62" spans="1:5" x14ac:dyDescent="0.25">
      <c r="A62" s="14"/>
      <c r="B62" s="18"/>
      <c r="C62" s="30" t="s">
        <v>109</v>
      </c>
      <c r="D62" s="7"/>
      <c r="E62" s="7"/>
    </row>
    <row r="63" spans="1:5" x14ac:dyDescent="0.25">
      <c r="A63" s="14"/>
      <c r="B63" s="15"/>
      <c r="D63" s="7"/>
      <c r="E63" s="7"/>
    </row>
    <row r="64" spans="1:5" x14ac:dyDescent="0.25">
      <c r="A64" s="20">
        <v>4</v>
      </c>
      <c r="B64" s="53" t="s">
        <v>40</v>
      </c>
      <c r="C64" s="53"/>
      <c r="D64" s="34">
        <f>D66+D73+D77+D81</f>
        <v>20</v>
      </c>
      <c r="E64" s="58">
        <f>IF(ISTEXT(E65),0,E65)</f>
        <v>0</v>
      </c>
    </row>
    <row r="65" spans="1:5" x14ac:dyDescent="0.25">
      <c r="A65" s="40" t="s">
        <v>133</v>
      </c>
      <c r="B65" s="53" t="s">
        <v>134</v>
      </c>
      <c r="C65" s="53"/>
      <c r="D65" s="41"/>
      <c r="E65" s="41" t="s">
        <v>135</v>
      </c>
    </row>
    <row r="66" spans="1:5" ht="30" customHeight="1" x14ac:dyDescent="0.25">
      <c r="A66" s="20" t="s">
        <v>41</v>
      </c>
      <c r="B66" s="54" t="s">
        <v>42</v>
      </c>
      <c r="C66" s="54"/>
      <c r="D66" s="21">
        <f>D67+D68+D69+D70+D71</f>
        <v>8</v>
      </c>
      <c r="E66" s="41" t="s">
        <v>136</v>
      </c>
    </row>
    <row r="67" spans="1:5" x14ac:dyDescent="0.25">
      <c r="A67" s="5"/>
      <c r="B67" s="7" t="s">
        <v>5</v>
      </c>
      <c r="C67" s="8" t="s">
        <v>43</v>
      </c>
      <c r="D67" s="7">
        <v>2</v>
      </c>
      <c r="E67" s="7" t="s">
        <v>172</v>
      </c>
    </row>
    <row r="68" spans="1:5" x14ac:dyDescent="0.25">
      <c r="A68" s="5"/>
      <c r="B68" s="7" t="s">
        <v>6</v>
      </c>
      <c r="C68" s="8" t="s">
        <v>44</v>
      </c>
      <c r="D68" s="7">
        <v>2</v>
      </c>
      <c r="E68" s="7" t="s">
        <v>173</v>
      </c>
    </row>
    <row r="69" spans="1:5" x14ac:dyDescent="0.25">
      <c r="A69" s="5"/>
      <c r="B69" s="7" t="s">
        <v>7</v>
      </c>
      <c r="C69" s="8" t="s">
        <v>45</v>
      </c>
      <c r="D69" s="7">
        <v>2</v>
      </c>
      <c r="E69" s="7" t="s">
        <v>174</v>
      </c>
    </row>
    <row r="70" spans="1:5" x14ac:dyDescent="0.25">
      <c r="A70" s="5"/>
      <c r="B70" s="7" t="s">
        <v>8</v>
      </c>
      <c r="C70" s="8" t="s">
        <v>46</v>
      </c>
      <c r="D70" s="7">
        <v>1</v>
      </c>
      <c r="E70" s="7" t="s">
        <v>175</v>
      </c>
    </row>
    <row r="71" spans="1:5" x14ac:dyDescent="0.25">
      <c r="A71" s="5"/>
      <c r="B71" s="7" t="s">
        <v>9</v>
      </c>
      <c r="C71" s="8" t="s">
        <v>110</v>
      </c>
      <c r="D71" s="7">
        <v>1</v>
      </c>
      <c r="E71" s="7" t="s">
        <v>176</v>
      </c>
    </row>
    <row r="72" spans="1:5" s="2" customFormat="1" x14ac:dyDescent="0.25">
      <c r="A72" s="17"/>
      <c r="B72" s="18"/>
      <c r="C72" s="16"/>
      <c r="D72" s="7"/>
      <c r="E72" s="34"/>
    </row>
    <row r="73" spans="1:5" ht="28.9" customHeight="1" x14ac:dyDescent="0.25">
      <c r="A73" s="20" t="s">
        <v>47</v>
      </c>
      <c r="B73" s="54" t="s">
        <v>48</v>
      </c>
      <c r="C73" s="54"/>
      <c r="D73" s="21">
        <f>D74+D75</f>
        <v>4</v>
      </c>
      <c r="E73" s="41" t="s">
        <v>137</v>
      </c>
    </row>
    <row r="74" spans="1:5" x14ac:dyDescent="0.25">
      <c r="A74" s="5"/>
      <c r="B74" s="7" t="s">
        <v>5</v>
      </c>
      <c r="C74" s="8" t="s">
        <v>49</v>
      </c>
      <c r="D74" s="7">
        <v>2</v>
      </c>
      <c r="E74" s="7" t="s">
        <v>177</v>
      </c>
    </row>
    <row r="75" spans="1:5" x14ac:dyDescent="0.25">
      <c r="A75" s="5"/>
      <c r="B75" s="7" t="s">
        <v>6</v>
      </c>
      <c r="C75" s="8" t="s">
        <v>50</v>
      </c>
      <c r="D75" s="7">
        <v>2</v>
      </c>
      <c r="E75" s="7" t="s">
        <v>178</v>
      </c>
    </row>
    <row r="76" spans="1:5" x14ac:dyDescent="0.25">
      <c r="A76" s="17"/>
      <c r="B76" s="18"/>
      <c r="C76" s="16"/>
      <c r="D76" s="7"/>
      <c r="E76" s="7"/>
    </row>
    <row r="77" spans="1:5" x14ac:dyDescent="0.25">
      <c r="A77" s="20" t="s">
        <v>51</v>
      </c>
      <c r="B77" s="53" t="s">
        <v>52</v>
      </c>
      <c r="C77" s="53"/>
      <c r="D77" s="21">
        <f>D78+D79</f>
        <v>4</v>
      </c>
      <c r="E77" s="41" t="s">
        <v>138</v>
      </c>
    </row>
    <row r="78" spans="1:5" x14ac:dyDescent="0.25">
      <c r="A78" s="5"/>
      <c r="B78" s="7" t="s">
        <v>5</v>
      </c>
      <c r="C78" s="8" t="s">
        <v>53</v>
      </c>
      <c r="D78" s="7">
        <v>2</v>
      </c>
      <c r="E78" s="7" t="s">
        <v>179</v>
      </c>
    </row>
    <row r="79" spans="1:5" x14ac:dyDescent="0.25">
      <c r="A79" s="5"/>
      <c r="B79" s="7" t="s">
        <v>6</v>
      </c>
      <c r="C79" s="8" t="s">
        <v>54</v>
      </c>
      <c r="D79" s="7">
        <v>2</v>
      </c>
      <c r="E79" s="7" t="s">
        <v>180</v>
      </c>
    </row>
    <row r="80" spans="1:5" x14ac:dyDescent="0.25">
      <c r="A80" s="17"/>
      <c r="B80" s="18"/>
      <c r="C80" s="16"/>
      <c r="D80" s="7"/>
      <c r="E80" s="7"/>
    </row>
    <row r="81" spans="1:6" ht="33.6" customHeight="1" x14ac:dyDescent="0.25">
      <c r="A81" s="20" t="s">
        <v>55</v>
      </c>
      <c r="B81" s="54" t="s">
        <v>56</v>
      </c>
      <c r="C81" s="54"/>
      <c r="D81" s="21">
        <f>D82+D83</f>
        <v>4</v>
      </c>
      <c r="E81" s="41" t="s">
        <v>139</v>
      </c>
    </row>
    <row r="82" spans="1:6" ht="30" x14ac:dyDescent="0.25">
      <c r="A82" s="6"/>
      <c r="B82" s="7" t="s">
        <v>5</v>
      </c>
      <c r="C82" s="10" t="s">
        <v>111</v>
      </c>
      <c r="D82" s="7">
        <v>2</v>
      </c>
      <c r="E82" s="7" t="s">
        <v>181</v>
      </c>
    </row>
    <row r="83" spans="1:6" ht="30" x14ac:dyDescent="0.25">
      <c r="A83" s="6"/>
      <c r="B83" s="7" t="s">
        <v>6</v>
      </c>
      <c r="C83" s="10" t="s">
        <v>57</v>
      </c>
      <c r="D83" s="7">
        <v>2</v>
      </c>
      <c r="E83" s="7" t="s">
        <v>182</v>
      </c>
    </row>
    <row r="84" spans="1:6" x14ac:dyDescent="0.25">
      <c r="A84" s="14"/>
      <c r="B84" s="18"/>
      <c r="C84" s="28"/>
      <c r="D84" s="7"/>
      <c r="E84" s="7"/>
    </row>
    <row r="85" spans="1:6" x14ac:dyDescent="0.25">
      <c r="A85" s="14"/>
      <c r="B85" s="18"/>
      <c r="C85" s="28"/>
      <c r="D85" s="7"/>
      <c r="E85" s="7"/>
    </row>
    <row r="86" spans="1:6" x14ac:dyDescent="0.25">
      <c r="A86" s="50"/>
      <c r="B86" s="51"/>
      <c r="C86" s="52"/>
      <c r="D86" s="19">
        <f>D2+D13+D39+D64</f>
        <v>100</v>
      </c>
      <c r="E86" s="19">
        <f>E2+E13+E39+E64</f>
        <v>0</v>
      </c>
    </row>
    <row r="87" spans="1:6" s="2" customFormat="1" x14ac:dyDescent="0.25">
      <c r="A87"/>
      <c r="B87"/>
      <c r="C87" s="31"/>
      <c r="D87" s="1"/>
      <c r="E87" s="32"/>
    </row>
    <row r="88" spans="1:6" s="2" customFormat="1" ht="30" customHeight="1" x14ac:dyDescent="0.25">
      <c r="A88" s="22" t="s">
        <v>60</v>
      </c>
      <c r="B88"/>
      <c r="C88" s="37"/>
      <c r="D88" s="1"/>
      <c r="E88" s="1"/>
      <c r="F88" s="32"/>
    </row>
    <row r="89" spans="1:6" ht="31.5" x14ac:dyDescent="0.25">
      <c r="A89" s="23" t="s">
        <v>58</v>
      </c>
      <c r="B89" s="44" t="s">
        <v>61</v>
      </c>
      <c r="C89" s="45"/>
      <c r="D89" s="23" t="s">
        <v>62</v>
      </c>
      <c r="E89" s="38" t="s">
        <v>112</v>
      </c>
    </row>
    <row r="90" spans="1:6" ht="15.75" x14ac:dyDescent="0.25">
      <c r="A90" s="23">
        <v>1</v>
      </c>
      <c r="B90" s="46" t="s">
        <v>63</v>
      </c>
      <c r="C90" s="47"/>
      <c r="D90" s="23">
        <v>20</v>
      </c>
      <c r="E90" s="23">
        <f>E2</f>
        <v>0</v>
      </c>
    </row>
    <row r="91" spans="1:6" ht="15.75" x14ac:dyDescent="0.25">
      <c r="A91" s="23">
        <v>2</v>
      </c>
      <c r="B91" s="46" t="s">
        <v>64</v>
      </c>
      <c r="C91" s="47"/>
      <c r="D91" s="23">
        <v>30</v>
      </c>
      <c r="E91" s="33">
        <f>E13</f>
        <v>0</v>
      </c>
    </row>
    <row r="92" spans="1:6" ht="15.75" x14ac:dyDescent="0.25">
      <c r="A92" s="23">
        <v>3</v>
      </c>
      <c r="B92" s="46" t="s">
        <v>65</v>
      </c>
      <c r="C92" s="47"/>
      <c r="D92" s="23">
        <v>30</v>
      </c>
      <c r="E92" s="23">
        <f>E39</f>
        <v>0</v>
      </c>
    </row>
    <row r="93" spans="1:6" ht="15.75" x14ac:dyDescent="0.25">
      <c r="A93" s="23">
        <v>4</v>
      </c>
      <c r="B93" s="48" t="s">
        <v>66</v>
      </c>
      <c r="C93" s="49"/>
      <c r="D93" s="23">
        <v>20</v>
      </c>
      <c r="E93" s="23">
        <f>E64</f>
        <v>0</v>
      </c>
    </row>
    <row r="94" spans="1:6" ht="15.75" x14ac:dyDescent="0.25">
      <c r="A94" s="8"/>
      <c r="B94" s="42" t="s">
        <v>67</v>
      </c>
      <c r="C94" s="43"/>
      <c r="D94" s="24">
        <f>SUM(D90:D93)</f>
        <v>100</v>
      </c>
      <c r="E94" s="39">
        <f>SUM(E90:E93)</f>
        <v>0</v>
      </c>
    </row>
    <row r="95" spans="1:6" s="2" customFormat="1" ht="29.45" customHeight="1" x14ac:dyDescent="0.25">
      <c r="A95" s="8"/>
      <c r="B95" s="25" t="s">
        <v>68</v>
      </c>
      <c r="C95" s="35"/>
      <c r="D95" s="7"/>
      <c r="E95" s="24" t="str">
        <f>IFERROR(IF(E94&lt;60,"C (Kurang)",IF(E94&lt;70,"B (Cukup)",IF(E94&lt;80,"BB (Baik)",IF(E94&lt;90,"A (Sangat Baik)",IF(E94&gt;=90,"AA (Memuaskan)"))))),0)</f>
        <v>C (Kurang)</v>
      </c>
    </row>
    <row r="96" spans="1:6" ht="15.75" x14ac:dyDescent="0.25">
      <c r="C96" s="36"/>
    </row>
    <row r="99" spans="1:5" s="2" customFormat="1" x14ac:dyDescent="0.25">
      <c r="A99"/>
      <c r="B99"/>
      <c r="C99"/>
      <c r="D99"/>
      <c r="E99" s="32"/>
    </row>
    <row r="103" spans="1:5" s="2" customFormat="1" ht="30" customHeight="1" x14ac:dyDescent="0.25">
      <c r="A103"/>
      <c r="B103"/>
      <c r="C103"/>
      <c r="D103"/>
      <c r="E103" s="32"/>
    </row>
    <row r="106" spans="1:5" ht="24.6" customHeight="1" x14ac:dyDescent="0.25"/>
    <row r="109" spans="1:5" ht="19.899999999999999" customHeight="1" x14ac:dyDescent="0.25"/>
    <row r="110" spans="1:5" ht="19.899999999999999" customHeight="1" x14ac:dyDescent="0.25"/>
    <row r="111" spans="1:5" ht="19.899999999999999" customHeight="1" x14ac:dyDescent="0.25"/>
    <row r="112" spans="1:5" ht="19.899999999999999" customHeight="1" x14ac:dyDescent="0.25"/>
    <row r="113" ht="19.899999999999999" customHeight="1" x14ac:dyDescent="0.25"/>
    <row r="114" ht="19.899999999999999" customHeight="1" x14ac:dyDescent="0.25"/>
    <row r="115" ht="19.899999999999999" customHeight="1" x14ac:dyDescent="0.25"/>
  </sheetData>
  <mergeCells count="26">
    <mergeCell ref="B52:C52"/>
    <mergeCell ref="B57:C57"/>
    <mergeCell ref="B1:C1"/>
    <mergeCell ref="B15:C15"/>
    <mergeCell ref="B20:C20"/>
    <mergeCell ref="B39:C39"/>
    <mergeCell ref="B40:C40"/>
    <mergeCell ref="B41:C41"/>
    <mergeCell ref="B2:C2"/>
    <mergeCell ref="B3:C3"/>
    <mergeCell ref="B4:C4"/>
    <mergeCell ref="B13:C13"/>
    <mergeCell ref="B14:C14"/>
    <mergeCell ref="A86:C86"/>
    <mergeCell ref="B64:C64"/>
    <mergeCell ref="B66:C66"/>
    <mergeCell ref="B73:C73"/>
    <mergeCell ref="B77:C77"/>
    <mergeCell ref="B81:C81"/>
    <mergeCell ref="B65:C65"/>
    <mergeCell ref="B94:C94"/>
    <mergeCell ref="B89:C89"/>
    <mergeCell ref="B90:C90"/>
    <mergeCell ref="B91:C91"/>
    <mergeCell ref="B92:C92"/>
    <mergeCell ref="B93:C93"/>
  </mergeCells>
  <pageMargins left="0.51181102362204722" right="0.31496062992125984" top="0.15748031496062992" bottom="0.15748031496062992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Laporan</vt:lpstr>
      <vt:lpstr>Laporan!Print_Titles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Muchammad Nurul Arifin</dc:creator>
  <cp:lastModifiedBy>Muchammad Nurul Arifin</cp:lastModifiedBy>
  <cp:lastPrinted>2025-11-13T04:41:13Z</cp:lastPrinted>
  <dcterms:created xsi:type="dcterms:W3CDTF">2025-02-07T02:11:33Z</dcterms:created>
  <dcterms:modified xsi:type="dcterms:W3CDTF">2026-10-28T14:18:33Z</dcterms:modified>
</cp:coreProperties>
</file>